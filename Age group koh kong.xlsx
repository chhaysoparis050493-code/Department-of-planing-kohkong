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cd53a78522c4c9e/Desktop/"/>
    </mc:Choice>
  </mc:AlternateContent>
  <xr:revisionPtr revIDLastSave="2" documentId="13_ncr:1_{2E68EDA2-4BAB-4B8A-B4F7-19629CC8CCC3}" xr6:coauthVersionLast="47" xr6:coauthVersionMax="47" xr10:uidLastSave="{9069C4AF-FA57-4300-911C-DAE5EFA848DD}"/>
  <bookViews>
    <workbookView xWindow="-108" yWindow="-108" windowWidth="23256" windowHeight="12456" activeTab="3" xr2:uid="{00000000-000D-0000-FFFF-FFFF00000000}"/>
  </bookViews>
  <sheets>
    <sheet name="Sheet1" sheetId="1" r:id="rId1"/>
    <sheet name="Sheet2" sheetId="4" r:id="rId2"/>
    <sheet name="Sheet3" sheetId="5" r:id="rId3"/>
    <sheet name="Chart2" sheetId="9" r:id="rId4"/>
    <sheet name="Sheet4" sheetId="6" r:id="rId5"/>
    <sheet name="Sheet5" sheetId="10" r:id="rId6"/>
  </sheets>
  <calcPr calcId="191029"/>
</workbook>
</file>

<file path=xl/calcChain.xml><?xml version="1.0" encoding="utf-8"?>
<calcChain xmlns="http://schemas.openxmlformats.org/spreadsheetml/2006/main">
  <c r="B16" i="10" l="1"/>
  <c r="D16" i="10" s="1"/>
  <c r="C16" i="10"/>
  <c r="E27" i="6"/>
  <c r="E35" i="6"/>
  <c r="D42" i="6"/>
  <c r="D43" i="6"/>
  <c r="D44" i="6"/>
  <c r="H44" i="6" s="1"/>
  <c r="D45" i="6"/>
  <c r="D46" i="6"/>
  <c r="D47" i="6"/>
  <c r="H47" i="6" s="1"/>
  <c r="D48" i="6"/>
  <c r="H48" i="6" s="1"/>
  <c r="D49" i="6"/>
  <c r="D50" i="6"/>
  <c r="D51" i="6"/>
  <c r="H51" i="6" s="1"/>
  <c r="D52" i="6"/>
  <c r="C42" i="6"/>
  <c r="H42" i="6" s="1"/>
  <c r="C43" i="6"/>
  <c r="H43" i="6" s="1"/>
  <c r="C44" i="6"/>
  <c r="C45" i="6"/>
  <c r="E45" i="6" s="1"/>
  <c r="C46" i="6"/>
  <c r="E46" i="6" s="1"/>
  <c r="C47" i="6"/>
  <c r="E47" i="6" s="1"/>
  <c r="C48" i="6"/>
  <c r="E48" i="6" s="1"/>
  <c r="C49" i="6"/>
  <c r="G49" i="6" s="1"/>
  <c r="C50" i="6"/>
  <c r="H50" i="6" s="1"/>
  <c r="C51" i="6"/>
  <c r="E51" i="6" s="1"/>
  <c r="C52" i="6"/>
  <c r="B42" i="6"/>
  <c r="B43" i="6"/>
  <c r="B44" i="6"/>
  <c r="B45" i="6"/>
  <c r="B46" i="6"/>
  <c r="B47" i="6"/>
  <c r="B48" i="6"/>
  <c r="G48" i="6" s="1"/>
  <c r="I48" i="6" s="1"/>
  <c r="J48" i="6" s="1"/>
  <c r="B49" i="6"/>
  <c r="B50" i="6"/>
  <c r="B51" i="6"/>
  <c r="B52" i="6"/>
  <c r="F52" i="6" s="1"/>
  <c r="B20" i="6"/>
  <c r="C20" i="6"/>
  <c r="D22" i="6"/>
  <c r="H22" i="6" s="1"/>
  <c r="H46" i="6"/>
  <c r="G21" i="6"/>
  <c r="I21" i="6" s="1"/>
  <c r="J21" i="6" s="1"/>
  <c r="G24" i="6"/>
  <c r="G25" i="6"/>
  <c r="G28" i="6"/>
  <c r="G29" i="6"/>
  <c r="G32" i="6"/>
  <c r="G33" i="6"/>
  <c r="G36" i="6"/>
  <c r="G37" i="6"/>
  <c r="I37" i="6" s="1"/>
  <c r="J37" i="6" s="1"/>
  <c r="G40" i="6"/>
  <c r="G41" i="6"/>
  <c r="F44" i="6"/>
  <c r="F45" i="6"/>
  <c r="D21" i="6"/>
  <c r="H21" i="6" s="1"/>
  <c r="D23" i="6"/>
  <c r="H23" i="6" s="1"/>
  <c r="D24" i="6"/>
  <c r="H24" i="6" s="1"/>
  <c r="I24" i="6" s="1"/>
  <c r="J24" i="6" s="1"/>
  <c r="D25" i="6"/>
  <c r="H25" i="6" s="1"/>
  <c r="D26" i="6"/>
  <c r="H26" i="6" s="1"/>
  <c r="D27" i="6"/>
  <c r="H27" i="6" s="1"/>
  <c r="D28" i="6"/>
  <c r="H28" i="6" s="1"/>
  <c r="I28" i="6" s="1"/>
  <c r="J28" i="6" s="1"/>
  <c r="D29" i="6"/>
  <c r="H29" i="6" s="1"/>
  <c r="D30" i="6"/>
  <c r="H30" i="6" s="1"/>
  <c r="D31" i="6"/>
  <c r="H31" i="6" s="1"/>
  <c r="D32" i="6"/>
  <c r="H32" i="6" s="1"/>
  <c r="I32" i="6" s="1"/>
  <c r="J32" i="6" s="1"/>
  <c r="D33" i="6"/>
  <c r="H33" i="6" s="1"/>
  <c r="D34" i="6"/>
  <c r="H34" i="6" s="1"/>
  <c r="D35" i="6"/>
  <c r="H35" i="6" s="1"/>
  <c r="D36" i="6"/>
  <c r="H36" i="6" s="1"/>
  <c r="I36" i="6" s="1"/>
  <c r="J36" i="6" s="1"/>
  <c r="D37" i="6"/>
  <c r="H37" i="6" s="1"/>
  <c r="D38" i="6"/>
  <c r="H38" i="6" s="1"/>
  <c r="D39" i="6"/>
  <c r="H39" i="6" s="1"/>
  <c r="D40" i="6"/>
  <c r="H40" i="6" s="1"/>
  <c r="I40" i="6" s="1"/>
  <c r="J40" i="6" s="1"/>
  <c r="D41" i="6"/>
  <c r="H41" i="6" s="1"/>
  <c r="C21" i="6"/>
  <c r="E21" i="6" s="1"/>
  <c r="C22" i="6"/>
  <c r="E22" i="6" s="1"/>
  <c r="C23" i="6"/>
  <c r="E23" i="6" s="1"/>
  <c r="C24" i="6"/>
  <c r="E24" i="6" s="1"/>
  <c r="C25" i="6"/>
  <c r="C26" i="6"/>
  <c r="E26" i="6" s="1"/>
  <c r="C27" i="6"/>
  <c r="C28" i="6"/>
  <c r="E28" i="6" s="1"/>
  <c r="C29" i="6"/>
  <c r="E29" i="6" s="1"/>
  <c r="C30" i="6"/>
  <c r="E30" i="6" s="1"/>
  <c r="C31" i="6"/>
  <c r="E31" i="6" s="1"/>
  <c r="C32" i="6"/>
  <c r="E32" i="6" s="1"/>
  <c r="C33" i="6"/>
  <c r="C34" i="6"/>
  <c r="E34" i="6" s="1"/>
  <c r="C35" i="6"/>
  <c r="C36" i="6"/>
  <c r="E36" i="6" s="1"/>
  <c r="C37" i="6"/>
  <c r="E37" i="6" s="1"/>
  <c r="C38" i="6"/>
  <c r="E38" i="6" s="1"/>
  <c r="C39" i="6"/>
  <c r="E39" i="6" s="1"/>
  <c r="C40" i="6"/>
  <c r="E40" i="6" s="1"/>
  <c r="C41" i="6"/>
  <c r="B21" i="6"/>
  <c r="F21" i="6" s="1"/>
  <c r="B22" i="6"/>
  <c r="F22" i="6" s="1"/>
  <c r="B23" i="6"/>
  <c r="F23" i="6" s="1"/>
  <c r="B24" i="6"/>
  <c r="F24" i="6" s="1"/>
  <c r="B25" i="6"/>
  <c r="E25" i="6" s="1"/>
  <c r="B26" i="6"/>
  <c r="G26" i="6" s="1"/>
  <c r="I26" i="6" s="1"/>
  <c r="J26" i="6" s="1"/>
  <c r="B27" i="6"/>
  <c r="F27" i="6" s="1"/>
  <c r="B28" i="6"/>
  <c r="F28" i="6" s="1"/>
  <c r="B29" i="6"/>
  <c r="F29" i="6" s="1"/>
  <c r="B30" i="6"/>
  <c r="F30" i="6" s="1"/>
  <c r="B31" i="6"/>
  <c r="F31" i="6" s="1"/>
  <c r="B32" i="6"/>
  <c r="F32" i="6" s="1"/>
  <c r="B33" i="6"/>
  <c r="E33" i="6" s="1"/>
  <c r="B34" i="6"/>
  <c r="G34" i="6" s="1"/>
  <c r="I34" i="6" s="1"/>
  <c r="J34" i="6" s="1"/>
  <c r="B35" i="6"/>
  <c r="F35" i="6" s="1"/>
  <c r="B36" i="6"/>
  <c r="F36" i="6" s="1"/>
  <c r="B37" i="6"/>
  <c r="F37" i="6" s="1"/>
  <c r="B38" i="6"/>
  <c r="F38" i="6" s="1"/>
  <c r="B39" i="6"/>
  <c r="F39" i="6" s="1"/>
  <c r="B40" i="6"/>
  <c r="F40" i="6" s="1"/>
  <c r="B41" i="6"/>
  <c r="E41" i="6" s="1"/>
  <c r="D20" i="6"/>
  <c r="M20" i="1"/>
  <c r="L20" i="1"/>
  <c r="K20" i="1"/>
  <c r="I29" i="6" l="1"/>
  <c r="J29" i="6" s="1"/>
  <c r="I33" i="6"/>
  <c r="J33" i="6" s="1"/>
  <c r="I41" i="6"/>
  <c r="J41" i="6" s="1"/>
  <c r="I25" i="6"/>
  <c r="J25" i="6" s="1"/>
  <c r="F34" i="6"/>
  <c r="E43" i="6"/>
  <c r="F41" i="6"/>
  <c r="F33" i="6"/>
  <c r="F25" i="6"/>
  <c r="E50" i="6"/>
  <c r="E42" i="6"/>
  <c r="G39" i="6"/>
  <c r="I39" i="6" s="1"/>
  <c r="J39" i="6" s="1"/>
  <c r="G31" i="6"/>
  <c r="I31" i="6" s="1"/>
  <c r="J31" i="6" s="1"/>
  <c r="G23" i="6"/>
  <c r="I23" i="6" s="1"/>
  <c r="J23" i="6" s="1"/>
  <c r="G46" i="6"/>
  <c r="I46" i="6" s="1"/>
  <c r="J46" i="6" s="1"/>
  <c r="E49" i="6"/>
  <c r="G38" i="6"/>
  <c r="I38" i="6" s="1"/>
  <c r="J38" i="6" s="1"/>
  <c r="G30" i="6"/>
  <c r="I30" i="6" s="1"/>
  <c r="J30" i="6" s="1"/>
  <c r="G22" i="6"/>
  <c r="I22" i="6" s="1"/>
  <c r="J22" i="6" s="1"/>
  <c r="F26" i="6"/>
  <c r="G51" i="6"/>
  <c r="I51" i="6" s="1"/>
  <c r="J51" i="6" s="1"/>
  <c r="G35" i="6"/>
  <c r="I35" i="6" s="1"/>
  <c r="J35" i="6" s="1"/>
  <c r="G27" i="6"/>
  <c r="I27" i="6" s="1"/>
  <c r="J27" i="6" s="1"/>
  <c r="G50" i="6"/>
  <c r="I50" i="6" s="1"/>
  <c r="J50" i="6" s="1"/>
  <c r="G42" i="6"/>
  <c r="I42" i="6" s="1"/>
  <c r="J42" i="6" s="1"/>
  <c r="G43" i="6"/>
  <c r="I43" i="6" s="1"/>
  <c r="J43" i="6" s="1"/>
  <c r="G52" i="6"/>
  <c r="G44" i="6"/>
  <c r="I44" i="6" s="1"/>
  <c r="J44" i="6" s="1"/>
  <c r="E52" i="6"/>
  <c r="E44" i="6"/>
  <c r="H52" i="6"/>
  <c r="F48" i="6"/>
  <c r="H49" i="6"/>
  <c r="I49" i="6" s="1"/>
  <c r="J49" i="6" s="1"/>
  <c r="H45" i="6"/>
  <c r="F49" i="6"/>
  <c r="G45" i="6"/>
  <c r="I45" i="6" s="1"/>
  <c r="J45" i="6" s="1"/>
  <c r="F51" i="6"/>
  <c r="F47" i="6"/>
  <c r="F43" i="6"/>
  <c r="G47" i="6"/>
  <c r="I47" i="6" s="1"/>
  <c r="J47" i="6" s="1"/>
  <c r="F50" i="6"/>
  <c r="F46" i="6"/>
  <c r="F42" i="6"/>
  <c r="J20" i="1"/>
  <c r="I20" i="1"/>
  <c r="H20" i="1"/>
  <c r="G20" i="1"/>
  <c r="F20" i="1"/>
  <c r="E20" i="1"/>
  <c r="D20" i="1"/>
  <c r="I52" i="6" l="1"/>
  <c r="J52" i="6" s="1"/>
  <c r="C20" i="1"/>
  <c r="G20" i="6"/>
  <c r="H20" i="6"/>
  <c r="F20" i="6"/>
  <c r="E20" i="6"/>
  <c r="I20" i="6" l="1"/>
  <c r="J20" i="6" s="1"/>
</calcChain>
</file>

<file path=xl/sharedStrings.xml><?xml version="1.0" encoding="utf-8"?>
<sst xmlns="http://schemas.openxmlformats.org/spreadsheetml/2006/main" count="111" uniqueCount="97">
  <si>
    <t>Age group</t>
  </si>
  <si>
    <t>0-2</t>
  </si>
  <si>
    <t>3-4</t>
  </si>
  <si>
    <t>7-11</t>
  </si>
  <si>
    <t>12-14</t>
  </si>
  <si>
    <t>15-17</t>
  </si>
  <si>
    <t>18-24</t>
  </si>
  <si>
    <t>25-35</t>
  </si>
  <si>
    <t>36-45</t>
  </si>
  <si>
    <t>46-60</t>
  </si>
  <si>
    <t>61+</t>
  </si>
  <si>
    <t>Total</t>
  </si>
  <si>
    <t>មន្ទីរផែនការខេត្តកោះកុង</t>
  </si>
  <si>
    <t>9. Koh Kong</t>
  </si>
  <si>
    <t>Age groups</t>
  </si>
  <si>
    <t>0 - 4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</si>
  <si>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</si>
  <si>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</si>
  <si>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</si>
  <si>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</si>
  <si>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</si>
  <si>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</si>
  <si>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</si>
  <si>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</si>
  <si>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</si>
  <si>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</si>
  <si>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</si>
  <si>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</si>
  <si>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75-79</t>
  </si>
  <si>
    <t>80+</t>
  </si>
  <si>
    <t>Table 7</t>
  </si>
  <si>
    <t>Projected total fertility rates,</t>
  </si>
  <si>
    <t>Cambodia, 1998 to 2020</t>
  </si>
  <si>
    <t>Year</t>
  </si>
  <si>
    <t>TFR</t>
  </si>
  <si>
    <t>Projected total fertility rates, according to three</t>
  </si>
  <si>
    <t>variants, Cambodia, 1998 to 2020</t>
  </si>
  <si>
    <t>Variant</t>
  </si>
  <si>
    <t>Low</t>
  </si>
  <si>
    <t>Medium</t>
  </si>
  <si>
    <t>High</t>
  </si>
  <si>
    <t xml:space="preserve">Table 12   </t>
  </si>
  <si>
    <t>Projected total fertility rates (TFR) by provinces, Cambodia, 1998-2020</t>
  </si>
  <si>
    <t>Provinces</t>
  </si>
  <si>
    <t>Banteay Meanchey</t>
  </si>
  <si>
    <t>Battambang</t>
  </si>
  <si>
    <t>Kampong Cham</t>
  </si>
  <si>
    <t>Kampong Chhnang</t>
  </si>
  <si>
    <t>Kampong Speu</t>
  </si>
  <si>
    <t>Kampong Thom</t>
  </si>
  <si>
    <t>Kampot</t>
  </si>
  <si>
    <t xml:space="preserve">Kandal </t>
  </si>
  <si>
    <t>Koh Kong</t>
  </si>
  <si>
    <t>Kratie</t>
  </si>
  <si>
    <t>Mondul Kiri</t>
  </si>
  <si>
    <t>Phnom Penh</t>
  </si>
  <si>
    <t>Preah Vihear</t>
  </si>
  <si>
    <t>Prey Veng</t>
  </si>
  <si>
    <t>Pursat</t>
  </si>
  <si>
    <t>Ratanak Kiri</t>
  </si>
  <si>
    <t>Siemreap</t>
  </si>
  <si>
    <t>Sihanoukville</t>
  </si>
  <si>
    <t>Stung Treng</t>
  </si>
  <si>
    <t>Svay Rieng</t>
  </si>
  <si>
    <t>Takeo</t>
  </si>
  <si>
    <t>Oddar Meanchey</t>
  </si>
  <si>
    <t>Kep</t>
  </si>
  <si>
    <t>Pailin</t>
  </si>
  <si>
    <t>ខេត្ត...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</si>
  <si>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</si>
  <si>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</si>
  <si>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</si>
  <si>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</si>
  <si>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</si>
  <si>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</si>
  <si>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</si>
  <si>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</si>
  <si>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</si>
  <si>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</si>
  <si>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</si>
  <si>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</si>
  <si>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</si>
  <si>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</si>
  <si>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</si>
  <si>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Death Rate</t>
  </si>
  <si>
    <t>Birth Rate</t>
  </si>
  <si>
    <t>0-14</t>
  </si>
  <si>
    <t>15-64</t>
  </si>
  <si>
    <t>65+</t>
  </si>
  <si>
    <t>ផលធៀបវ័យធ្វើការ</t>
  </si>
  <si>
    <t>ផលធៀបវ័យក្នុងបន្ទុក</t>
  </si>
  <si>
    <t>ផលធៀបវ័យក្មេងក្នុងបន្ទុក</t>
  </si>
  <si>
    <t>%វ័យក្មេង</t>
  </si>
  <si>
    <t>ផលធៀបវ័ចាស់ក្នុងបន្ទុក</t>
  </si>
  <si>
    <t>%វ័យចាស់</t>
  </si>
  <si>
    <t>male</t>
  </si>
  <si>
    <t>famale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</si>
</sst>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[$-F800]dddd\,\ mmmm\ dd\,\ yyyy"/>
    <numFmt numFmtId="165" formatCode="_(* #,##0_);_(* \(#,##0\);_(* &quot;-&quot;??_);_(@_)"/>
    <numFmt numFmtId="166" formatCode="#"/>
    <numFmt numFmtId="167" formatCode="#&quot;%&quot;"/>
    <numFmt numFmtId="168" formatCode="\3\-\4"/>
    <numFmt numFmtId="169" formatCode="\7\-\1\1"/>
    <numFmt numFmtId="170" formatCode="\1\2\-\1\4"/>
  </numFmts>
  <fonts count="1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Kh Muol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Times New Roman"/>
      <family val="1"/>
    </font>
    <font>
      <b/>
      <sz val="9"/>
      <color theme="1"/>
      <name val="Arial"/>
      <family val="2"/>
    </font>
    <font>
      <sz val="10"/>
      <color rgb="FF000000"/>
      <name val="Times New Roman"/>
      <family val="1"/>
    </font>
    <font>
      <sz val="11"/>
      <color theme="1"/>
      <name val="Khmer OS Siemreap-Kh Auto"/>
    </font>
    <font>
      <sz val="10"/>
      <color rgb="FF000000"/>
      <name val="Khmer OS Siemreap-Kh Auto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sz val="11"/>
      <color rgb="FF7030A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/>
    <xf numFmtId="43" fontId="4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6" fontId="0" fillId="0" borderId="0" xfId="0" applyNumberFormat="1" applyAlignment="1">
      <alignment vertical="center"/>
    </xf>
    <xf numFmtId="0" fontId="0" fillId="2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3" borderId="0" xfId="0" applyNumberForma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3" borderId="0" xfId="0" applyNumberFormat="1" applyFill="1" applyAlignment="1">
      <alignment vertical="center"/>
    </xf>
    <xf numFmtId="0" fontId="2" fillId="0" borderId="0" xfId="0" applyFont="1" applyAlignment="1">
      <alignment horizontal="center" vertical="center"/>
    </xf>
    <xf numFmtId="3" fontId="0" fillId="0" borderId="0" xfId="0" applyNumberFormat="1"/>
    <xf numFmtId="16" fontId="0" fillId="0" borderId="0" xfId="0" applyNumberFormat="1"/>
    <xf numFmtId="0" fontId="5" fillId="4" borderId="1" xfId="1" applyFont="1" applyFill="1" applyBorder="1" applyAlignment="1">
      <alignment vertical="center"/>
    </xf>
    <xf numFmtId="0" fontId="5" fillId="4" borderId="2" xfId="1" applyFont="1" applyFill="1" applyBorder="1" applyAlignment="1">
      <alignment vertical="center"/>
    </xf>
    <xf numFmtId="0" fontId="5" fillId="4" borderId="3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vertical="center"/>
    </xf>
    <xf numFmtId="0" fontId="5" fillId="0" borderId="6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0" xfId="1" applyFont="1" applyAlignment="1">
      <alignment vertical="center"/>
    </xf>
    <xf numFmtId="0" fontId="5" fillId="0" borderId="7" xfId="1" applyFont="1" applyBorder="1" applyAlignment="1">
      <alignment vertical="center"/>
    </xf>
    <xf numFmtId="0" fontId="5" fillId="0" borderId="11" xfId="1" applyFont="1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0" fontId="5" fillId="0" borderId="1" xfId="1" applyFont="1" applyBorder="1" applyAlignment="1">
      <alignment horizontal="right" vertical="center"/>
    </xf>
    <xf numFmtId="0" fontId="5" fillId="0" borderId="0" xfId="1" applyFont="1" applyAlignment="1">
      <alignment horizontal="right" vertical="center"/>
    </xf>
    <xf numFmtId="0" fontId="5" fillId="0" borderId="2" xfId="1" applyFont="1" applyBorder="1" applyAlignment="1">
      <alignment horizontal="right" vertical="center"/>
    </xf>
    <xf numFmtId="0" fontId="6" fillId="0" borderId="5" xfId="1" applyFont="1" applyBorder="1" applyAlignment="1">
      <alignment vertical="center"/>
    </xf>
    <xf numFmtId="0" fontId="6" fillId="0" borderId="12" xfId="1" applyFont="1" applyBorder="1" applyAlignment="1">
      <alignment vertical="center"/>
    </xf>
    <xf numFmtId="0" fontId="6" fillId="0" borderId="6" xfId="1" applyFont="1" applyBorder="1" applyAlignment="1">
      <alignment vertical="center"/>
    </xf>
    <xf numFmtId="0" fontId="5" fillId="0" borderId="0" xfId="1" applyFont="1" applyAlignment="1">
      <alignment vertical="center" wrapText="1"/>
    </xf>
    <xf numFmtId="0" fontId="7" fillId="4" borderId="0" xfId="1" applyFont="1" applyFill="1" applyAlignment="1">
      <alignment horizontal="center" vertical="center" wrapText="1"/>
    </xf>
    <xf numFmtId="0" fontId="5" fillId="0" borderId="0" xfId="1" applyFont="1" applyAlignment="1">
      <alignment horizontal="right" vertical="center" wrapText="1"/>
    </xf>
    <xf numFmtId="0" fontId="4" fillId="0" borderId="0" xfId="1"/>
    <xf numFmtId="0" fontId="7" fillId="4" borderId="0" xfId="1" applyFont="1" applyFill="1" applyAlignment="1">
      <alignment vertical="center" wrapText="1"/>
    </xf>
    <xf numFmtId="0" fontId="7" fillId="4" borderId="0" xfId="1" applyFont="1" applyFill="1" applyAlignment="1">
      <alignment horizontal="right" vertical="center" wrapText="1"/>
    </xf>
    <xf numFmtId="0" fontId="9" fillId="0" borderId="13" xfId="0" quotePrefix="1" applyFont="1" applyBorder="1" applyAlignment="1">
      <alignment horizontal="center"/>
    </xf>
    <xf numFmtId="0" fontId="9" fillId="0" borderId="13" xfId="0" applyFont="1" applyBorder="1"/>
    <xf numFmtId="0" fontId="9" fillId="6" borderId="13" xfId="0" applyFont="1" applyFill="1" applyBorder="1" applyAlignment="1">
      <alignment horizontal="center"/>
    </xf>
    <xf numFmtId="0" fontId="0" fillId="6" borderId="13" xfId="0" applyFill="1" applyBorder="1"/>
    <xf numFmtId="3" fontId="6" fillId="0" borderId="0" xfId="0" applyNumberFormat="1" applyFont="1" applyAlignment="1">
      <alignment horizontal="right" vertical="center"/>
    </xf>
    <xf numFmtId="3" fontId="8" fillId="0" borderId="0" xfId="0" applyNumberFormat="1" applyFont="1" applyAlignment="1">
      <alignment horizontal="right" vertical="center" wrapText="1"/>
    </xf>
    <xf numFmtId="3" fontId="11" fillId="0" borderId="0" xfId="0" applyNumberFormat="1" applyFont="1"/>
    <xf numFmtId="0" fontId="0" fillId="6" borderId="15" xfId="0" applyFill="1" applyBorder="1"/>
    <xf numFmtId="0" fontId="9" fillId="0" borderId="16" xfId="0" applyFont="1" applyBorder="1" applyAlignment="1">
      <alignment horizontal="center"/>
    </xf>
    <xf numFmtId="0" fontId="6" fillId="0" borderId="0" xfId="0" applyFont="1" applyAlignment="1">
      <alignment horizontal="right" vertical="center"/>
    </xf>
    <xf numFmtId="165" fontId="11" fillId="0" borderId="0" xfId="2" applyNumberFormat="1" applyFont="1"/>
    <xf numFmtId="0" fontId="9" fillId="0" borderId="0" xfId="0" quotePrefix="1" applyFont="1" applyAlignment="1">
      <alignment horizontal="center"/>
    </xf>
    <xf numFmtId="0" fontId="0" fillId="0" borderId="13" xfId="0" applyBorder="1"/>
    <xf numFmtId="1" fontId="9" fillId="7" borderId="13" xfId="0" applyNumberFormat="1" applyFont="1" applyFill="1" applyBorder="1" applyAlignment="1">
      <alignment horizontal="center"/>
    </xf>
    <xf numFmtId="0" fontId="9" fillId="6" borderId="16" xfId="0" applyFont="1" applyFill="1" applyBorder="1" applyAlignment="1">
      <alignment horizontal="center" vertical="center"/>
    </xf>
    <xf numFmtId="0" fontId="9" fillId="6" borderId="16" xfId="0" applyFont="1" applyFill="1" applyBorder="1"/>
    <xf numFmtId="0" fontId="9" fillId="6" borderId="16" xfId="0" applyFont="1" applyFill="1" applyBorder="1" applyAlignment="1">
      <alignment horizontal="center"/>
    </xf>
    <xf numFmtId="0" fontId="9" fillId="6" borderId="16" xfId="0" quotePrefix="1" applyFont="1" applyFill="1" applyBorder="1" applyAlignment="1">
      <alignment horizontal="center"/>
    </xf>
    <xf numFmtId="0" fontId="10" fillId="6" borderId="16" xfId="0" applyFont="1" applyFill="1" applyBorder="1" applyAlignment="1">
      <alignment horizontal="center" vertical="center" wrapText="1"/>
    </xf>
    <xf numFmtId="0" fontId="9" fillId="5" borderId="14" xfId="0" applyFont="1" applyFill="1" applyBorder="1" applyAlignment="1">
      <alignment horizontal="center"/>
    </xf>
    <xf numFmtId="0" fontId="9" fillId="6" borderId="14" xfId="0" applyFont="1" applyFill="1" applyBorder="1" applyAlignment="1">
      <alignment horizontal="center"/>
    </xf>
    <xf numFmtId="0" fontId="9" fillId="7" borderId="13" xfId="0" applyFont="1" applyFill="1" applyBorder="1" applyAlignment="1">
      <alignment horizontal="center" vertical="center"/>
    </xf>
    <xf numFmtId="166" fontId="9" fillId="7" borderId="13" xfId="0" applyNumberFormat="1" applyFont="1" applyFill="1" applyBorder="1" applyAlignment="1">
      <alignment horizontal="center" vertical="center"/>
    </xf>
    <xf numFmtId="166" fontId="9" fillId="7" borderId="13" xfId="0" applyNumberFormat="1" applyFont="1" applyFill="1" applyBorder="1" applyAlignment="1">
      <alignment horizontal="center"/>
    </xf>
    <xf numFmtId="167" fontId="9" fillId="7" borderId="13" xfId="0" applyNumberFormat="1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center" wrapText="1"/>
    </xf>
    <xf numFmtId="0" fontId="1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8" fontId="1" fillId="0" borderId="0" xfId="0" applyNumberFormat="1" applyFont="1" applyAlignment="1">
      <alignment horizontal="center"/>
    </xf>
    <xf numFmtId="169" fontId="1" fillId="0" borderId="0" xfId="0" applyNumberFormat="1" applyFont="1" applyAlignment="1">
      <alignment horizontal="center"/>
    </xf>
    <xf numFmtId="170" fontId="1" fillId="0" borderId="0" xfId="0" applyNumberFormat="1" applyFont="1" applyAlignment="1">
      <alignment horizontal="center"/>
    </xf>
    <xf numFmtId="0" fontId="1" fillId="0" borderId="13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5" fillId="0" borderId="0" xfId="1" applyFont="1" applyAlignment="1">
      <alignment horizontal="right" vertical="center" wrapText="1"/>
    </xf>
    <xf numFmtId="0" fontId="7" fillId="4" borderId="0" xfId="1" applyFont="1" applyFill="1" applyAlignment="1">
      <alignment horizontal="center" vertical="center" wrapText="1"/>
    </xf>
    <xf numFmtId="0" fontId="5" fillId="0" borderId="0" xfId="1" applyFont="1" applyAlignment="1">
      <alignment vertical="center" wrapText="1"/>
    </xf>
    <xf numFmtId="0" fontId="5" fillId="0" borderId="8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center"/>
    </xf>
    <xf numFmtId="0" fontId="5" fillId="4" borderId="1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</cellXfs>
  <cellStyles count="3">
    <cellStyle name="Comma 2" xfId="2" xr:uid="{6E9FF414-1ADE-47B2-B37E-681FF6C41015}"/>
    <cellStyle name="Normal" xfId="0" builtinId="0"/>
    <cellStyle name="Normal 2" xfId="1" xr:uid="{74CC0F23-ED77-4F02-9882-4CF065D068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calcChain" Target="calcChain.xml"/><Relationship Id="rId5" Type="http://schemas.openxmlformats.org/officeDocument/2006/relationships/worksheet" Target="worksheets/sheet4.xml"/><Relationship Id="rId10" Type="http://schemas.microsoft.com/office/2017/10/relationships/person" Target="persons/person.xml"/><Relationship Id="rId4" Type="http://schemas.openxmlformats.org/officeDocument/2006/relationships/chartsheet" Target="chartsheets/sheet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Khmer OS Siemreap" panose="02000500000000020004" pitchFamily="2" charset="0"/>
              </a:defRPr>
            </a:pPr>
            <a:r>
              <a:rPr lang="en-US" sz="2000" baseline="0">
                <a:cs typeface="Khmer OS Siemreap" panose="02000500000000020004" pitchFamily="2" charset="0"/>
              </a:rPr>
              <a:t>ភាគលាភវិទ្យាសាស្រ្ត កោះកុង វ័យធ្វើការ(១៥-៦៤)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Khmer OS Siemreap" panose="02000500000000020004" pitchFamily="2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2733676774345353E-2"/>
          <c:y val="8.3255759696704595E-2"/>
          <c:w val="0.92526597444375602"/>
          <c:h val="0.70722029746281712"/>
        </c:manualLayout>
      </c:layout>
      <c:barChart>
        <c:barDir val="col"/>
        <c:grouping val="percentStacked"/>
        <c:varyColors val="0"/>
        <c:ser>
          <c:idx val="4"/>
          <c:order val="4"/>
          <c:tx>
            <c:strRef>
              <c:f>Sheet4!$I$19</c:f>
              <c:strCache>
                <c:ptCount val="1"/>
                <c:pt idx="0">
                  <c:v>%វ័យក្មេង</c:v>
                </c:pt>
              </c:strCache>
            </c:strRef>
          </c:tx>
          <c:spPr>
            <a:solidFill>
              <a:srgbClr val="4BACC6"/>
            </a:solidFill>
            <a:ln>
              <a:noFill/>
            </a:ln>
            <a:effectLst/>
          </c:spPr>
          <c:invertIfNegative val="1"/>
          <c:cat>
            <c:numRef>
              <c:f>Sheet4!$A$20:$A$52</c:f>
              <c:numCache>
                <c:formatCode>General</c:formatCode>
                <c:ptCount val="33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  <c:pt idx="27">
                  <c:v>2025</c:v>
                </c:pt>
                <c:pt idx="28">
                  <c:v>2026</c:v>
                </c:pt>
                <c:pt idx="29">
                  <c:v>2027</c:v>
                </c:pt>
                <c:pt idx="30">
                  <c:v>2028</c:v>
                </c:pt>
                <c:pt idx="31">
                  <c:v>2029</c:v>
                </c:pt>
                <c:pt idx="32">
                  <c:v>2030</c:v>
                </c:pt>
              </c:numCache>
            </c:numRef>
          </c:cat>
          <c:val>
            <c:numRef>
              <c:f>Sheet4!$I$20:$I$52</c:f>
              <c:numCache>
                <c:formatCode>#"%"</c:formatCode>
                <c:ptCount val="33"/>
                <c:pt idx="0">
                  <c:v>96.026136602565131</c:v>
                </c:pt>
                <c:pt idx="1">
                  <c:v>95.783067726022338</c:v>
                </c:pt>
                <c:pt idx="2">
                  <c:v>95.56531866900589</c:v>
                </c:pt>
                <c:pt idx="3">
                  <c:v>95.346561334335604</c:v>
                </c:pt>
                <c:pt idx="4">
                  <c:v>95.119817369075776</c:v>
                </c:pt>
                <c:pt idx="5">
                  <c:v>94.873622385006257</c:v>
                </c:pt>
                <c:pt idx="6">
                  <c:v>94.618124258013452</c:v>
                </c:pt>
                <c:pt idx="7">
                  <c:v>94.341931257801775</c:v>
                </c:pt>
                <c:pt idx="8">
                  <c:v>94.056379893089144</c:v>
                </c:pt>
                <c:pt idx="9">
                  <c:v>93.760486577181211</c:v>
                </c:pt>
                <c:pt idx="10">
                  <c:v>93.450649822775617</c:v>
                </c:pt>
                <c:pt idx="11">
                  <c:v>93.115672263771444</c:v>
                </c:pt>
                <c:pt idx="12">
                  <c:v>92.760116867259711</c:v>
                </c:pt>
                <c:pt idx="13">
                  <c:v>92.378195851423058</c:v>
                </c:pt>
                <c:pt idx="14">
                  <c:v>92.011635477705667</c:v>
                </c:pt>
                <c:pt idx="15">
                  <c:v>91.689665746703469</c:v>
                </c:pt>
                <c:pt idx="16">
                  <c:v>91.384148578567959</c:v>
                </c:pt>
                <c:pt idx="17">
                  <c:v>91.06411218189163</c:v>
                </c:pt>
                <c:pt idx="18">
                  <c:v>90.731966647391289</c:v>
                </c:pt>
                <c:pt idx="19">
                  <c:v>90.388006257290371</c:v>
                </c:pt>
                <c:pt idx="20">
                  <c:v>90.017711219443768</c:v>
                </c:pt>
                <c:pt idx="21">
                  <c:v>89.439135602283883</c:v>
                </c:pt>
                <c:pt idx="22">
                  <c:v>88.976981178226055</c:v>
                </c:pt>
                <c:pt idx="23">
                  <c:v>88.46966558343145</c:v>
                </c:pt>
                <c:pt idx="24">
                  <c:v>87.911142699601356</c:v>
                </c:pt>
                <c:pt idx="25">
                  <c:v>87.288339793982189</c:v>
                </c:pt>
                <c:pt idx="26">
                  <c:v>86.598196753309551</c:v>
                </c:pt>
                <c:pt idx="27">
                  <c:v>85.857351043069201</c:v>
                </c:pt>
                <c:pt idx="28">
                  <c:v>85.084885244019674</c:v>
                </c:pt>
                <c:pt idx="29">
                  <c:v>84.301142570272532</c:v>
                </c:pt>
                <c:pt idx="30">
                  <c:v>83.520218633438731</c:v>
                </c:pt>
                <c:pt idx="31">
                  <c:v>82.739925408477788</c:v>
                </c:pt>
                <c:pt idx="32">
                  <c:v>81.943394875486092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4-C48D-48F5-BCDF-4F91FCC4C42C}"/>
            </c:ext>
          </c:extLst>
        </c:ser>
        <c:ser>
          <c:idx val="5"/>
          <c:order val="5"/>
          <c:tx>
            <c:strRef>
              <c:f>Sheet4!$J$19</c:f>
              <c:strCache>
                <c:ptCount val="1"/>
                <c:pt idx="0">
                  <c:v>%វ័យចាស់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Sheet4!$A$20:$A$52</c:f>
              <c:numCache>
                <c:formatCode>General</c:formatCode>
                <c:ptCount val="33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  <c:pt idx="27">
                  <c:v>2025</c:v>
                </c:pt>
                <c:pt idx="28">
                  <c:v>2026</c:v>
                </c:pt>
                <c:pt idx="29">
                  <c:v>2027</c:v>
                </c:pt>
                <c:pt idx="30">
                  <c:v>2028</c:v>
                </c:pt>
                <c:pt idx="31">
                  <c:v>2029</c:v>
                </c:pt>
                <c:pt idx="32">
                  <c:v>2030</c:v>
                </c:pt>
              </c:numCache>
            </c:numRef>
          </c:cat>
          <c:val>
            <c:numRef>
              <c:f>Sheet4!$J$20:$J$52</c:f>
              <c:numCache>
                <c:formatCode>0</c:formatCode>
                <c:ptCount val="33"/>
                <c:pt idx="0" formatCode="#&quot;%&quot;">
                  <c:v>3.9738633974348687</c:v>
                </c:pt>
                <c:pt idx="1">
                  <c:v>4.2169322739776618</c:v>
                </c:pt>
                <c:pt idx="2">
                  <c:v>4.4346813309941098</c:v>
                </c:pt>
                <c:pt idx="3">
                  <c:v>4.653438665664396</c:v>
                </c:pt>
                <c:pt idx="4">
                  <c:v>4.8801826309242244</c:v>
                </c:pt>
                <c:pt idx="5">
                  <c:v>5.1263776149937428</c:v>
                </c:pt>
                <c:pt idx="6">
                  <c:v>5.3818757419865477</c:v>
                </c:pt>
                <c:pt idx="7">
                  <c:v>5.6580687421982248</c:v>
                </c:pt>
                <c:pt idx="8">
                  <c:v>5.9436201069108563</c:v>
                </c:pt>
                <c:pt idx="9">
                  <c:v>6.2395134228187885</c:v>
                </c:pt>
                <c:pt idx="10">
                  <c:v>6.5493501772243832</c:v>
                </c:pt>
                <c:pt idx="11">
                  <c:v>6.8843277362285562</c:v>
                </c:pt>
                <c:pt idx="12">
                  <c:v>7.2398831327402888</c:v>
                </c:pt>
                <c:pt idx="13">
                  <c:v>7.6218041485769419</c:v>
                </c:pt>
                <c:pt idx="14">
                  <c:v>7.9883645222943329</c:v>
                </c:pt>
                <c:pt idx="15">
                  <c:v>8.3103342532965314</c:v>
                </c:pt>
                <c:pt idx="16">
                  <c:v>8.6158514214320405</c:v>
                </c:pt>
                <c:pt idx="17">
                  <c:v>8.9358878181083696</c:v>
                </c:pt>
                <c:pt idx="18">
                  <c:v>9.2680333526087111</c:v>
                </c:pt>
                <c:pt idx="19">
                  <c:v>9.6119937427096289</c:v>
                </c:pt>
                <c:pt idx="20">
                  <c:v>9.9822887805562317</c:v>
                </c:pt>
                <c:pt idx="21">
                  <c:v>10.560864397716117</c:v>
                </c:pt>
                <c:pt idx="22">
                  <c:v>11.023018821773945</c:v>
                </c:pt>
                <c:pt idx="23">
                  <c:v>11.53033441656855</c:v>
                </c:pt>
                <c:pt idx="24">
                  <c:v>12.088857300398644</c:v>
                </c:pt>
                <c:pt idx="25">
                  <c:v>12.711660206017811</c:v>
                </c:pt>
                <c:pt idx="26">
                  <c:v>13.401803246690449</c:v>
                </c:pt>
                <c:pt idx="27">
                  <c:v>14.142648956930799</c:v>
                </c:pt>
                <c:pt idx="28">
                  <c:v>14.915114755980326</c:v>
                </c:pt>
                <c:pt idx="29">
                  <c:v>15.698857429727468</c:v>
                </c:pt>
                <c:pt idx="30">
                  <c:v>16.479781366561269</c:v>
                </c:pt>
                <c:pt idx="31">
                  <c:v>17.260074591522212</c:v>
                </c:pt>
                <c:pt idx="32">
                  <c:v>18.056605124513908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8D-48F5-BCDF-4F91FCC4C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overlap val="100"/>
        <c:axId val="515622736"/>
        <c:axId val="515627416"/>
      </c:barChart>
      <c:lineChart>
        <c:grouping val="standard"/>
        <c:varyColors val="0"/>
        <c:ser>
          <c:idx val="0"/>
          <c:order val="0"/>
          <c:tx>
            <c:strRef>
              <c:f>Sheet4!$E$19</c:f>
              <c:strCache>
                <c:ptCount val="1"/>
                <c:pt idx="0">
                  <c:v>ផលធៀបវ័យធ្វើការ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Sheet4!$A$20:$A$52</c:f>
              <c:numCache>
                <c:formatCode>General</c:formatCode>
                <c:ptCount val="33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  <c:pt idx="27">
                  <c:v>2025</c:v>
                </c:pt>
                <c:pt idx="28">
                  <c:v>2026</c:v>
                </c:pt>
                <c:pt idx="29">
                  <c:v>2027</c:v>
                </c:pt>
                <c:pt idx="30">
                  <c:v>2028</c:v>
                </c:pt>
                <c:pt idx="31">
                  <c:v>2029</c:v>
                </c:pt>
                <c:pt idx="32">
                  <c:v>2030</c:v>
                </c:pt>
              </c:numCache>
            </c:numRef>
          </c:cat>
          <c:val>
            <c:numRef>
              <c:f>Sheet4!$E$20:$E$52</c:f>
              <c:numCache>
                <c:formatCode>#</c:formatCode>
                <c:ptCount val="33"/>
                <c:pt idx="0">
                  <c:v>123.69600025877826</c:v>
                </c:pt>
                <c:pt idx="1">
                  <c:v>124.81289668208572</c:v>
                </c:pt>
                <c:pt idx="2">
                  <c:v>126.36925208981408</c:v>
                </c:pt>
                <c:pt idx="3">
                  <c:v>128.19294538130964</c:v>
                </c:pt>
                <c:pt idx="4">
                  <c:v>130.15597446447856</c:v>
                </c:pt>
                <c:pt idx="5">
                  <c:v>132.22728172639083</c:v>
                </c:pt>
                <c:pt idx="6">
                  <c:v>134.43328184638165</c:v>
                </c:pt>
                <c:pt idx="7">
                  <c:v>136.64025905006736</c:v>
                </c:pt>
                <c:pt idx="8">
                  <c:v>139.00687968933528</c:v>
                </c:pt>
                <c:pt idx="9">
                  <c:v>141.7435682326622</c:v>
                </c:pt>
                <c:pt idx="10">
                  <c:v>145.01726801781331</c:v>
                </c:pt>
                <c:pt idx="11">
                  <c:v>148.94262504583995</c:v>
                </c:pt>
                <c:pt idx="12">
                  <c:v>153.46132042560615</c:v>
                </c:pt>
                <c:pt idx="13">
                  <c:v>158.38666452269925</c:v>
                </c:pt>
                <c:pt idx="14">
                  <c:v>162.45773213198075</c:v>
                </c:pt>
                <c:pt idx="15">
                  <c:v>164.62230399672902</c:v>
                </c:pt>
                <c:pt idx="16">
                  <c:v>165.73788535335007</c:v>
                </c:pt>
                <c:pt idx="17">
                  <c:v>166.67243734010427</c:v>
                </c:pt>
                <c:pt idx="18">
                  <c:v>167.41591896882986</c:v>
                </c:pt>
                <c:pt idx="19">
                  <c:v>167.96484343210568</c:v>
                </c:pt>
                <c:pt idx="20">
                  <c:v>168.40213236067757</c:v>
                </c:pt>
                <c:pt idx="21">
                  <c:v>199.71997886544904</c:v>
                </c:pt>
                <c:pt idx="22">
                  <c:v>202.5988279135511</c:v>
                </c:pt>
                <c:pt idx="23">
                  <c:v>206.42701607296385</c:v>
                </c:pt>
                <c:pt idx="24">
                  <c:v>210.60238022602101</c:v>
                </c:pt>
                <c:pt idx="25">
                  <c:v>214.51083524578806</c:v>
                </c:pt>
                <c:pt idx="26">
                  <c:v>217.73572804626616</c:v>
                </c:pt>
                <c:pt idx="27">
                  <c:v>219.9320639390005</c:v>
                </c:pt>
                <c:pt idx="28">
                  <c:v>221.17720394392592</c:v>
                </c:pt>
                <c:pt idx="29">
                  <c:v>221.87487720940715</c:v>
                </c:pt>
                <c:pt idx="30">
                  <c:v>222.67669807605768</c:v>
                </c:pt>
                <c:pt idx="31">
                  <c:v>224.18622162353756</c:v>
                </c:pt>
                <c:pt idx="32">
                  <c:v>226.86395328095927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8D-48F5-BCDF-4F91FCC4C42C}"/>
            </c:ext>
          </c:extLst>
        </c:ser>
        <c:ser>
          <c:idx val="1"/>
          <c:order val="1"/>
          <c:tx>
            <c:strRef>
              <c:f>Sheet4!$F$19</c:f>
              <c:strCache>
                <c:ptCount val="1"/>
                <c:pt idx="0">
                  <c:v>ផលធៀបវ័យក្នុងបន្ទុក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Sheet4!$A$20:$A$52</c:f>
              <c:numCache>
                <c:formatCode>General</c:formatCode>
                <c:ptCount val="33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  <c:pt idx="27">
                  <c:v>2025</c:v>
                </c:pt>
                <c:pt idx="28">
                  <c:v>2026</c:v>
                </c:pt>
                <c:pt idx="29">
                  <c:v>2027</c:v>
                </c:pt>
                <c:pt idx="30">
                  <c:v>2028</c:v>
                </c:pt>
                <c:pt idx="31">
                  <c:v>2029</c:v>
                </c:pt>
                <c:pt idx="32">
                  <c:v>2030</c:v>
                </c:pt>
              </c:numCache>
            </c:numRef>
          </c:cat>
          <c:val>
            <c:numRef>
              <c:f>Sheet4!$F$20:$F$52</c:f>
              <c:numCache>
                <c:formatCode>0</c:formatCode>
                <c:ptCount val="33"/>
                <c:pt idx="0">
                  <c:v>80.843357740585773</c:v>
                </c:pt>
                <c:pt idx="1">
                  <c:v>80.119925631333345</c:v>
                </c:pt>
                <c:pt idx="2">
                  <c:v>79.133173890217577</c:v>
                </c:pt>
                <c:pt idx="3">
                  <c:v>78.00741273441389</c:v>
                </c:pt>
                <c:pt idx="4">
                  <c:v>76.830894940816904</c:v>
                </c:pt>
                <c:pt idx="5">
                  <c:v>75.627358208061324</c:v>
                </c:pt>
                <c:pt idx="6">
                  <c:v>74.38634140783013</c:v>
                </c:pt>
                <c:pt idx="7">
                  <c:v>73.184872961458794</c:v>
                </c:pt>
                <c:pt idx="8">
                  <c:v>71.938885487890047</c:v>
                </c:pt>
                <c:pt idx="9">
                  <c:v>70.549938347718864</c:v>
                </c:pt>
                <c:pt idx="10">
                  <c:v>68.957305131218178</c:v>
                </c:pt>
                <c:pt idx="11">
                  <c:v>67.13994732483269</c:v>
                </c:pt>
                <c:pt idx="12">
                  <c:v>65.1629998508173</c:v>
                </c:pt>
                <c:pt idx="13">
                  <c:v>63.136628516896678</c:v>
                </c:pt>
                <c:pt idx="14">
                  <c:v>61.55447246965133</c:v>
                </c:pt>
                <c:pt idx="15">
                  <c:v>60.745110214219189</c:v>
                </c:pt>
                <c:pt idx="16">
                  <c:v>60.336235005534121</c:v>
                </c:pt>
                <c:pt idx="17">
                  <c:v>59.99792262948943</c:v>
                </c:pt>
                <c:pt idx="18">
                  <c:v>59.731476323119779</c:v>
                </c:pt>
                <c:pt idx="19">
                  <c:v>59.536268397988735</c:v>
                </c:pt>
                <c:pt idx="20">
                  <c:v>59.381670883966976</c:v>
                </c:pt>
                <c:pt idx="21">
                  <c:v>50.070103435855962</c:v>
                </c:pt>
                <c:pt idx="22">
                  <c:v>49.358627110453959</c:v>
                </c:pt>
                <c:pt idx="23">
                  <c:v>48.443271574808762</c:v>
                </c:pt>
                <c:pt idx="24">
                  <c:v>47.482844160013187</c:v>
                </c:pt>
                <c:pt idx="25">
                  <c:v>46.617691775531647</c:v>
                </c:pt>
                <c:pt idx="26">
                  <c:v>45.927235230201276</c:v>
                </c:pt>
                <c:pt idx="27">
                  <c:v>45.46858616656079</c:v>
                </c:pt>
                <c:pt idx="28">
                  <c:v>45.212616045798534</c:v>
                </c:pt>
                <c:pt idx="29">
                  <c:v>45.070447478206042</c:v>
                </c:pt>
                <c:pt idx="30">
                  <c:v>44.908156472593234</c:v>
                </c:pt>
                <c:pt idx="31">
                  <c:v>44.605774287022868</c:v>
                </c:pt>
                <c:pt idx="32">
                  <c:v>44.079281240486523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8D-48F5-BCDF-4F91FCC4C42C}"/>
            </c:ext>
          </c:extLst>
        </c:ser>
        <c:ser>
          <c:idx val="2"/>
          <c:order val="2"/>
          <c:tx>
            <c:strRef>
              <c:f>Sheet4!$G$19</c:f>
              <c:strCache>
                <c:ptCount val="1"/>
                <c:pt idx="0">
                  <c:v>ផលធៀបវ័យក្មេងក្នុងបន្ទុក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Sheet4!$A$20:$A$52</c:f>
              <c:numCache>
                <c:formatCode>General</c:formatCode>
                <c:ptCount val="33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  <c:pt idx="27">
                  <c:v>2025</c:v>
                </c:pt>
                <c:pt idx="28">
                  <c:v>2026</c:v>
                </c:pt>
                <c:pt idx="29">
                  <c:v>2027</c:v>
                </c:pt>
                <c:pt idx="30">
                  <c:v>2028</c:v>
                </c:pt>
                <c:pt idx="31">
                  <c:v>2029</c:v>
                </c:pt>
                <c:pt idx="32">
                  <c:v>2030</c:v>
                </c:pt>
              </c:numCache>
            </c:numRef>
          </c:cat>
          <c:val>
            <c:numRef>
              <c:f>Sheet4!$G$20:$G$52</c:f>
              <c:numCache>
                <c:formatCode>0</c:formatCode>
                <c:ptCount val="33"/>
                <c:pt idx="0">
                  <c:v>77.63075313807532</c:v>
                </c:pt>
                <c:pt idx="1">
                  <c:v>76.741322629498754</c:v>
                </c:pt>
                <c:pt idx="2">
                  <c:v>75.623869801084993</c:v>
                </c:pt>
                <c:pt idx="3">
                  <c:v>74.377385628146271</c:v>
                </c:pt>
                <c:pt idx="4">
                  <c:v>73.08140695073152</c:v>
                </c:pt>
                <c:pt idx="5">
                  <c:v>71.750414246072154</c:v>
                </c:pt>
                <c:pt idx="6">
                  <c:v>70.38296094425084</c:v>
                </c:pt>
                <c:pt idx="7">
                  <c:v>69.044022540409017</c:v>
                </c:pt>
                <c:pt idx="8">
                  <c:v>67.663111425344241</c:v>
                </c:pt>
                <c:pt idx="9">
                  <c:v>66.147965474722568</c:v>
                </c:pt>
                <c:pt idx="10">
                  <c:v>64.441049745397578</c:v>
                </c:pt>
                <c:pt idx="11">
                  <c:v>62.517813309059974</c:v>
                </c:pt>
                <c:pt idx="12">
                  <c:v>60.445274815830416</c:v>
                </c:pt>
                <c:pt idx="13">
                  <c:v>58.324478345324223</c:v>
                </c:pt>
                <c:pt idx="14">
                  <c:v>56.637276829000271</c:v>
                </c:pt>
                <c:pt idx="15">
                  <c:v>55.696988512884197</c:v>
                </c:pt>
                <c:pt idx="16">
                  <c:v>55.137754644171231</c:v>
                </c:pt>
                <c:pt idx="17">
                  <c:v>54.636575570122794</c:v>
                </c:pt>
                <c:pt idx="18">
                  <c:v>54.195543175487472</c:v>
                </c:pt>
                <c:pt idx="19">
                  <c:v>53.81364600493125</c:v>
                </c:pt>
                <c:pt idx="20">
                  <c:v>53.454021013609911</c:v>
                </c:pt>
                <c:pt idx="21">
                  <c:v>44.782267708199015</c:v>
                </c:pt>
                <c:pt idx="22">
                  <c:v>43.917816353899404</c:v>
                </c:pt>
                <c:pt idx="23">
                  <c:v>42.857600359906826</c:v>
                </c:pt>
                <c:pt idx="24">
                  <c:v>41.742710887338525</c:v>
                </c:pt>
                <c:pt idx="25">
                  <c:v>40.69180920113736</c:v>
                </c:pt>
                <c:pt idx="26">
                  <c:v>39.772157528004996</c:v>
                </c:pt>
                <c:pt idx="27">
                  <c:v>39.038123639344498</c:v>
                </c:pt>
                <c:pt idx="28">
                  <c:v>38.469102478386908</c:v>
                </c:pt>
                <c:pt idx="29">
                  <c:v>37.994902185662284</c:v>
                </c:pt>
                <c:pt idx="30">
                  <c:v>37.507390470156636</c:v>
                </c:pt>
                <c:pt idx="31">
                  <c:v>36.906784372956686</c:v>
                </c:pt>
                <c:pt idx="32">
                  <c:v>36.120059485167936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8D-48F5-BCDF-4F91FCC4C42C}"/>
            </c:ext>
          </c:extLst>
        </c:ser>
        <c:ser>
          <c:idx val="3"/>
          <c:order val="3"/>
          <c:tx>
            <c:strRef>
              <c:f>Sheet4!$H$19</c:f>
              <c:strCache>
                <c:ptCount val="1"/>
                <c:pt idx="0">
                  <c:v>ផលធៀបវ័ចាស់ក្នុងបន្ទុក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Sheet4!$A$20:$A$52</c:f>
              <c:numCache>
                <c:formatCode>General</c:formatCode>
                <c:ptCount val="33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  <c:pt idx="27">
                  <c:v>2025</c:v>
                </c:pt>
                <c:pt idx="28">
                  <c:v>2026</c:v>
                </c:pt>
                <c:pt idx="29">
                  <c:v>2027</c:v>
                </c:pt>
                <c:pt idx="30">
                  <c:v>2028</c:v>
                </c:pt>
                <c:pt idx="31">
                  <c:v>2029</c:v>
                </c:pt>
                <c:pt idx="32">
                  <c:v>2030</c:v>
                </c:pt>
              </c:numCache>
            </c:numRef>
          </c:cat>
          <c:val>
            <c:numRef>
              <c:f>Sheet4!$H$20:$H$52</c:f>
              <c:numCache>
                <c:formatCode>0</c:formatCode>
                <c:ptCount val="33"/>
                <c:pt idx="0">
                  <c:v>3.2126046025104604</c:v>
                </c:pt>
                <c:pt idx="1">
                  <c:v>3.3786030018345912</c:v>
                </c:pt>
                <c:pt idx="2">
                  <c:v>3.5093040891325908</c:v>
                </c:pt>
                <c:pt idx="3">
                  <c:v>3.630027106267633</c:v>
                </c:pt>
                <c:pt idx="4">
                  <c:v>3.7494879900853872</c:v>
                </c:pt>
                <c:pt idx="5">
                  <c:v>3.8769439619891801</c:v>
                </c:pt>
                <c:pt idx="6">
                  <c:v>4.0033804635793038</c:v>
                </c:pt>
                <c:pt idx="7">
                  <c:v>4.140850421049775</c:v>
                </c:pt>
                <c:pt idx="8">
                  <c:v>4.2757740625458052</c:v>
                </c:pt>
                <c:pt idx="9">
                  <c:v>4.4019728729963008</c:v>
                </c:pt>
                <c:pt idx="10">
                  <c:v>4.5162553858206032</c:v>
                </c:pt>
                <c:pt idx="11">
                  <c:v>4.6221340157727058</c:v>
                </c:pt>
                <c:pt idx="12">
                  <c:v>4.7177250349868931</c:v>
                </c:pt>
                <c:pt idx="13">
                  <c:v>4.8121501715724424</c:v>
                </c:pt>
                <c:pt idx="14">
                  <c:v>4.9171956406510589</c:v>
                </c:pt>
                <c:pt idx="15">
                  <c:v>5.0481217013349893</c:v>
                </c:pt>
                <c:pt idx="16">
                  <c:v>5.1984803613628889</c:v>
                </c:pt>
                <c:pt idx="17">
                  <c:v>5.3613470593666328</c:v>
                </c:pt>
                <c:pt idx="18">
                  <c:v>5.5359331476323117</c:v>
                </c:pt>
                <c:pt idx="19">
                  <c:v>5.7226223930574847</c:v>
                </c:pt>
                <c:pt idx="20">
                  <c:v>5.9276498703570653</c:v>
                </c:pt>
                <c:pt idx="21">
                  <c:v>5.2878357276569492</c:v>
                </c:pt>
                <c:pt idx="22">
                  <c:v>5.4408107565545576</c:v>
                </c:pt>
                <c:pt idx="23">
                  <c:v>5.5856712149019421</c:v>
                </c:pt>
                <c:pt idx="24">
                  <c:v>5.7401332726746652</c:v>
                </c:pt>
                <c:pt idx="25">
                  <c:v>5.9258825743942936</c:v>
                </c:pt>
                <c:pt idx="26">
                  <c:v>6.155077702196273</c:v>
                </c:pt>
                <c:pt idx="27">
                  <c:v>6.4304625272162852</c:v>
                </c:pt>
                <c:pt idx="28">
                  <c:v>6.7435135674116227</c:v>
                </c:pt>
                <c:pt idx="29">
                  <c:v>7.0755452925437625</c:v>
                </c:pt>
                <c:pt idx="30">
                  <c:v>7.4007660024365984</c:v>
                </c:pt>
                <c:pt idx="31">
                  <c:v>7.6989899140661784</c:v>
                </c:pt>
                <c:pt idx="32">
                  <c:v>7.9592217553185893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8D-48F5-BCDF-4F91FCC4C42C}"/>
            </c:ext>
          </c:extLst>
        </c:ser>
        <c:ser>
          <c:idx val="6"/>
          <c:order val="6"/>
          <c:tx>
            <c:strRef>
              <c:f>Sheet4!$K$19</c:f>
              <c:strCache>
                <c:ptCount val="1"/>
                <c:pt idx="0">
                  <c:v>154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Sheet4!$A$20:$A$52</c:f>
              <c:numCache>
                <c:formatCode>General</c:formatCode>
                <c:ptCount val="33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  <c:pt idx="27">
                  <c:v>2025</c:v>
                </c:pt>
                <c:pt idx="28">
                  <c:v>2026</c:v>
                </c:pt>
                <c:pt idx="29">
                  <c:v>2027</c:v>
                </c:pt>
                <c:pt idx="30">
                  <c:v>2028</c:v>
                </c:pt>
                <c:pt idx="31">
                  <c:v>2029</c:v>
                </c:pt>
                <c:pt idx="32">
                  <c:v>2030</c:v>
                </c:pt>
              </c:numCache>
            </c:numRef>
          </c:cat>
          <c:val>
            <c:numRef>
              <c:f>Sheet4!$K$20:$K$52</c:f>
              <c:numCache>
                <c:formatCode>General</c:formatCode>
                <c:ptCount val="33"/>
                <c:pt idx="0">
                  <c:v>154</c:v>
                </c:pt>
                <c:pt idx="1">
                  <c:v>154</c:v>
                </c:pt>
                <c:pt idx="2">
                  <c:v>154</c:v>
                </c:pt>
                <c:pt idx="3">
                  <c:v>154</c:v>
                </c:pt>
                <c:pt idx="4">
                  <c:v>154</c:v>
                </c:pt>
                <c:pt idx="5">
                  <c:v>154</c:v>
                </c:pt>
                <c:pt idx="6">
                  <c:v>154</c:v>
                </c:pt>
                <c:pt idx="7">
                  <c:v>154</c:v>
                </c:pt>
                <c:pt idx="8">
                  <c:v>154</c:v>
                </c:pt>
                <c:pt idx="9">
                  <c:v>154</c:v>
                </c:pt>
                <c:pt idx="10">
                  <c:v>154</c:v>
                </c:pt>
                <c:pt idx="11">
                  <c:v>154</c:v>
                </c:pt>
                <c:pt idx="12">
                  <c:v>154</c:v>
                </c:pt>
                <c:pt idx="13">
                  <c:v>154</c:v>
                </c:pt>
                <c:pt idx="14">
                  <c:v>154</c:v>
                </c:pt>
                <c:pt idx="15">
                  <c:v>154</c:v>
                </c:pt>
                <c:pt idx="16">
                  <c:v>154</c:v>
                </c:pt>
                <c:pt idx="17">
                  <c:v>154</c:v>
                </c:pt>
                <c:pt idx="18">
                  <c:v>154</c:v>
                </c:pt>
                <c:pt idx="19">
                  <c:v>154</c:v>
                </c:pt>
                <c:pt idx="20">
                  <c:v>154</c:v>
                </c:pt>
                <c:pt idx="21">
                  <c:v>154</c:v>
                </c:pt>
                <c:pt idx="22">
                  <c:v>154</c:v>
                </c:pt>
                <c:pt idx="23">
                  <c:v>154</c:v>
                </c:pt>
                <c:pt idx="24">
                  <c:v>154</c:v>
                </c:pt>
                <c:pt idx="25">
                  <c:v>154</c:v>
                </c:pt>
                <c:pt idx="26">
                  <c:v>154</c:v>
                </c:pt>
                <c:pt idx="27">
                  <c:v>154</c:v>
                </c:pt>
                <c:pt idx="28">
                  <c:v>154</c:v>
                </c:pt>
                <c:pt idx="29">
                  <c:v>154</c:v>
                </c:pt>
                <c:pt idx="30">
                  <c:v>154</c:v>
                </c:pt>
                <c:pt idx="31">
                  <c:v>154</c:v>
                </c:pt>
                <c:pt idx="32">
                  <c:v>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48D-48F5-BCDF-4F91FCC4C42C}"/>
            </c:ext>
          </c:extLst>
        </c:ser>
        <c:ser>
          <c:idx val="7"/>
          <c:order val="7"/>
          <c:tx>
            <c:strRef>
              <c:f>Sheet4!$L$19</c:f>
              <c:strCache>
                <c:ptCount val="1"/>
                <c:pt idx="0">
                  <c:v>65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Sheet4!$A$20:$A$52</c:f>
              <c:numCache>
                <c:formatCode>General</c:formatCode>
                <c:ptCount val="33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  <c:pt idx="27">
                  <c:v>2025</c:v>
                </c:pt>
                <c:pt idx="28">
                  <c:v>2026</c:v>
                </c:pt>
                <c:pt idx="29">
                  <c:v>2027</c:v>
                </c:pt>
                <c:pt idx="30">
                  <c:v>2028</c:v>
                </c:pt>
                <c:pt idx="31">
                  <c:v>2029</c:v>
                </c:pt>
                <c:pt idx="32">
                  <c:v>2030</c:v>
                </c:pt>
              </c:numCache>
            </c:numRef>
          </c:cat>
          <c:val>
            <c:numRef>
              <c:f>Sheet4!$L$20:$L$52</c:f>
              <c:numCache>
                <c:formatCode>General</c:formatCode>
                <c:ptCount val="33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  <c:pt idx="30">
                  <c:v>65</c:v>
                </c:pt>
                <c:pt idx="31">
                  <c:v>65</c:v>
                </c:pt>
                <c:pt idx="32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48D-48F5-BCDF-4F91FCC4C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9474768"/>
        <c:axId val="629472248"/>
      </c:lineChart>
      <c:catAx>
        <c:axId val="629474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6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OS Siemreap-Kh Auto" panose="02000500000000020004" pitchFamily="2" charset="0"/>
                <a:ea typeface="+mn-ea"/>
                <a:cs typeface="Khmer OS Siemreap-Kh Auto" panose="02000500000000020004" pitchFamily="2" charset="0"/>
              </a:defRPr>
            </a:pPr>
            <a:endParaRPr lang="en-US"/>
          </a:p>
        </c:txPr>
        <c:crossAx val="629472248"/>
        <c:crosses val="autoZero"/>
        <c:auto val="1"/>
        <c:lblAlgn val="ctr"/>
        <c:lblOffset val="100"/>
        <c:noMultiLvlLbl val="0"/>
      </c:catAx>
      <c:valAx>
        <c:axId val="629472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474768"/>
        <c:crosses val="autoZero"/>
        <c:crossBetween val="between"/>
      </c:valAx>
      <c:valAx>
        <c:axId val="515627416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622736"/>
        <c:crosses val="max"/>
        <c:crossBetween val="between"/>
      </c:valAx>
      <c:catAx>
        <c:axId val="5156227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156274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05"/>
          <c:y val="0.86675765529308835"/>
          <c:w val="0.9"/>
          <c:h val="0.124353455818022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Khmer OS Siemreap" panose="02000500000000020004" pitchFamily="2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E0F2CC3-8F2C-4025-BE51-6CFB5F5B16AB}">
  <sheetPr/>
  <sheetViews>
    <sheetView tabSelected="1" zoomScale="70" workbookViewId="0"/>
  </sheetViews>
  <pageMargins left="0.7" right="0.7" top="0.75" bottom="0.75" header="0.3" footer="0.3"/>
  <pageSetup paperSize="3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4147800" cy="8572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B9770E-9DDB-C3F7-0076-82BE95ED08E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258"/>
  <sheetViews>
    <sheetView workbookViewId="0">
      <selection activeCell="S20" sqref="S20"/>
    </sheetView>
  </sheetViews>
  <sheetFormatPr defaultRowHeight="14.4"/>
  <cols>
    <col min="2" max="2" width="10" customWidth="1"/>
    <col min="5" max="5" width="10.109375" bestFit="1" customWidth="1"/>
  </cols>
  <sheetData>
    <row r="1" spans="1:66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 spans="1:6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</row>
    <row r="3" spans="1:66" ht="22.8">
      <c r="A3" s="76" t="s">
        <v>12</v>
      </c>
      <c r="B3" s="76"/>
      <c r="C3" s="76"/>
      <c r="D3" s="76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</row>
    <row r="4" spans="1:6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</row>
    <row r="5" spans="1:66">
      <c r="A5" s="4"/>
      <c r="B5" s="12" t="s">
        <v>0</v>
      </c>
      <c r="C5" s="6">
        <v>2011</v>
      </c>
      <c r="D5" s="6">
        <v>2012</v>
      </c>
      <c r="E5" s="6">
        <v>2013</v>
      </c>
      <c r="F5" s="6">
        <v>2014</v>
      </c>
      <c r="G5" s="6">
        <v>2015</v>
      </c>
      <c r="H5" s="6">
        <v>2016</v>
      </c>
      <c r="I5" s="6">
        <v>2017</v>
      </c>
      <c r="J5" s="6">
        <v>2018</v>
      </c>
      <c r="K5" s="6">
        <v>2019</v>
      </c>
      <c r="L5" s="6">
        <v>2020</v>
      </c>
      <c r="M5" s="6">
        <v>2021</v>
      </c>
      <c r="N5" s="6">
        <v>2022</v>
      </c>
      <c r="O5" s="2"/>
      <c r="P5" s="2"/>
      <c r="Q5" s="2"/>
      <c r="R5" s="2"/>
      <c r="S5" s="2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</row>
    <row r="6" spans="1:66">
      <c r="A6" s="4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</row>
    <row r="7" spans="1:66">
      <c r="A7" s="4"/>
      <c r="B7" s="10" t="s">
        <v>1</v>
      </c>
      <c r="C7" s="2">
        <v>5706</v>
      </c>
      <c r="D7" s="2">
        <v>5423</v>
      </c>
      <c r="E7" s="2">
        <v>5244</v>
      </c>
      <c r="F7" s="2">
        <v>5536</v>
      </c>
      <c r="G7" s="2">
        <v>5084</v>
      </c>
      <c r="H7" s="2">
        <v>5403</v>
      </c>
      <c r="I7" s="2">
        <v>5198</v>
      </c>
      <c r="J7" s="2">
        <v>4817</v>
      </c>
      <c r="K7" s="2">
        <v>4921</v>
      </c>
      <c r="L7" s="2">
        <v>5441</v>
      </c>
      <c r="M7" s="2">
        <v>5890</v>
      </c>
      <c r="N7" s="2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</row>
    <row r="8" spans="1:66">
      <c r="A8" s="5"/>
      <c r="B8" s="10" t="s">
        <v>2</v>
      </c>
      <c r="C8" s="2">
        <v>6058</v>
      </c>
      <c r="D8" s="2">
        <v>5830</v>
      </c>
      <c r="E8" s="2">
        <v>5610</v>
      </c>
      <c r="F8" s="2">
        <v>5587</v>
      </c>
      <c r="G8" s="2">
        <v>5089</v>
      </c>
      <c r="H8" s="2">
        <v>5086</v>
      </c>
      <c r="I8" s="2">
        <v>5436</v>
      </c>
      <c r="J8" s="2">
        <v>5130</v>
      </c>
      <c r="K8" s="2">
        <v>4896</v>
      </c>
      <c r="L8" s="2">
        <v>5018</v>
      </c>
      <c r="M8" s="2">
        <v>5495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</row>
    <row r="9" spans="1:66">
      <c r="A9" s="4"/>
      <c r="B9" s="11">
        <v>5</v>
      </c>
      <c r="C9" s="2">
        <v>4442</v>
      </c>
      <c r="D9" s="2">
        <v>4267</v>
      </c>
      <c r="E9" s="2">
        <v>4337</v>
      </c>
      <c r="F9" s="2">
        <v>4198</v>
      </c>
      <c r="G9" s="2">
        <v>3665</v>
      </c>
      <c r="H9" s="2">
        <v>3775</v>
      </c>
      <c r="I9" s="2">
        <v>3975</v>
      </c>
      <c r="J9" s="2">
        <v>4063</v>
      </c>
      <c r="K9" s="2">
        <v>3935</v>
      </c>
      <c r="L9" s="2">
        <v>4109</v>
      </c>
      <c r="M9" s="2">
        <v>4306</v>
      </c>
      <c r="N9" s="2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</row>
    <row r="10" spans="1:66">
      <c r="A10" s="4"/>
      <c r="B10" s="11">
        <v>6</v>
      </c>
      <c r="C10" s="2">
        <v>5164</v>
      </c>
      <c r="D10" s="2">
        <v>4760</v>
      </c>
      <c r="E10" s="2">
        <v>5986</v>
      </c>
      <c r="F10" s="2">
        <v>4587</v>
      </c>
      <c r="G10" s="2">
        <v>4318</v>
      </c>
      <c r="H10" s="2">
        <v>4296</v>
      </c>
      <c r="I10" s="2">
        <v>4738</v>
      </c>
      <c r="J10" s="2">
        <v>4313</v>
      </c>
      <c r="K10" s="2">
        <v>4335</v>
      </c>
      <c r="L10" s="2">
        <v>4680</v>
      </c>
      <c r="M10" s="2">
        <v>4956</v>
      </c>
      <c r="N10" s="2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</row>
    <row r="11" spans="1:66">
      <c r="A11" s="4"/>
      <c r="B11" s="10" t="s">
        <v>3</v>
      </c>
      <c r="C11" s="2">
        <v>13503</v>
      </c>
      <c r="D11" s="2">
        <v>13335</v>
      </c>
      <c r="E11" s="2">
        <v>13037</v>
      </c>
      <c r="F11" s="2">
        <v>12803</v>
      </c>
      <c r="G11" s="2">
        <v>12511</v>
      </c>
      <c r="H11" s="2">
        <v>12618</v>
      </c>
      <c r="I11" s="2">
        <v>12389</v>
      </c>
      <c r="J11" s="2">
        <v>12865</v>
      </c>
      <c r="K11" s="2">
        <v>11710</v>
      </c>
      <c r="L11" s="2">
        <v>12074</v>
      </c>
      <c r="M11" s="2">
        <v>12143</v>
      </c>
      <c r="N11" s="2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</row>
    <row r="12" spans="1:66">
      <c r="A12" s="4"/>
      <c r="B12" s="10" t="s">
        <v>4</v>
      </c>
      <c r="C12" s="2">
        <v>10094</v>
      </c>
      <c r="D12" s="2">
        <v>10195</v>
      </c>
      <c r="E12" s="2">
        <v>9917</v>
      </c>
      <c r="F12" s="2">
        <v>9704</v>
      </c>
      <c r="G12" s="2">
        <v>9144</v>
      </c>
      <c r="H12" s="2">
        <v>9355</v>
      </c>
      <c r="I12" s="2">
        <v>9360</v>
      </c>
      <c r="J12" s="2">
        <v>9720</v>
      </c>
      <c r="K12" s="2">
        <v>9525</v>
      </c>
      <c r="L12" s="2">
        <v>9500</v>
      </c>
      <c r="M12" s="2">
        <v>9953</v>
      </c>
      <c r="N12" s="2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</row>
    <row r="13" spans="1:66">
      <c r="A13" s="4"/>
      <c r="B13" s="10" t="s">
        <v>5</v>
      </c>
      <c r="C13" s="2">
        <v>9874</v>
      </c>
      <c r="D13" s="2">
        <v>9986</v>
      </c>
      <c r="E13" s="2">
        <v>9912</v>
      </c>
      <c r="F13" s="2">
        <v>10083</v>
      </c>
      <c r="G13" s="2">
        <v>10265</v>
      </c>
      <c r="H13" s="2">
        <v>9804</v>
      </c>
      <c r="I13" s="2">
        <v>9669</v>
      </c>
      <c r="J13" s="2">
        <v>9913</v>
      </c>
      <c r="K13" s="2">
        <v>9782</v>
      </c>
      <c r="L13" s="2">
        <v>9740</v>
      </c>
      <c r="M13" s="2">
        <v>10162</v>
      </c>
      <c r="N13" s="2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</row>
    <row r="14" spans="1:66">
      <c r="A14" s="4"/>
      <c r="B14" s="10" t="s">
        <v>6</v>
      </c>
      <c r="C14" s="2">
        <v>17835</v>
      </c>
      <c r="D14" s="2">
        <v>18004</v>
      </c>
      <c r="E14" s="2">
        <v>18370</v>
      </c>
      <c r="F14" s="2">
        <v>18695</v>
      </c>
      <c r="G14" s="2">
        <v>19345</v>
      </c>
      <c r="H14" s="2">
        <v>18841</v>
      </c>
      <c r="I14" s="2">
        <v>19249</v>
      </c>
      <c r="J14" s="2">
        <v>19212</v>
      </c>
      <c r="K14" s="2">
        <v>19091</v>
      </c>
      <c r="L14" s="2">
        <v>18988</v>
      </c>
      <c r="M14" s="2">
        <v>19204</v>
      </c>
      <c r="N14" s="2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</row>
    <row r="15" spans="1:66">
      <c r="A15" s="4"/>
      <c r="B15" s="10" t="s">
        <v>7</v>
      </c>
      <c r="C15" s="2">
        <v>17838</v>
      </c>
      <c r="D15" s="2">
        <v>18947</v>
      </c>
      <c r="E15" s="2">
        <v>20367</v>
      </c>
      <c r="F15" s="2">
        <v>21422</v>
      </c>
      <c r="G15" s="2">
        <v>22889</v>
      </c>
      <c r="H15" s="2">
        <v>22962</v>
      </c>
      <c r="I15" s="2">
        <v>23609</v>
      </c>
      <c r="J15" s="2">
        <v>24415</v>
      </c>
      <c r="K15" s="2">
        <v>24753</v>
      </c>
      <c r="L15" s="2">
        <v>25191</v>
      </c>
      <c r="M15" s="2">
        <v>25079</v>
      </c>
      <c r="N15" s="2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</row>
    <row r="16" spans="1:66">
      <c r="A16" s="4"/>
      <c r="B16" s="10" t="s">
        <v>8</v>
      </c>
      <c r="C16" s="2">
        <v>15105</v>
      </c>
      <c r="D16" s="2">
        <v>15147</v>
      </c>
      <c r="E16" s="2">
        <v>14748</v>
      </c>
      <c r="F16" s="2">
        <v>14690</v>
      </c>
      <c r="G16" s="2">
        <v>14736</v>
      </c>
      <c r="H16" s="2">
        <v>15047</v>
      </c>
      <c r="I16" s="2">
        <v>15440</v>
      </c>
      <c r="J16" s="2">
        <v>16990</v>
      </c>
      <c r="K16" s="2">
        <v>16990</v>
      </c>
      <c r="L16" s="2">
        <v>17934</v>
      </c>
      <c r="M16" s="2">
        <v>18743</v>
      </c>
      <c r="N16" s="2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</row>
    <row r="17" spans="1:66">
      <c r="A17" s="4"/>
      <c r="B17" s="10" t="s">
        <v>9</v>
      </c>
      <c r="C17" s="2">
        <v>13908</v>
      </c>
      <c r="D17" s="2">
        <v>14222</v>
      </c>
      <c r="E17" s="2">
        <v>14742</v>
      </c>
      <c r="F17" s="2">
        <v>14988</v>
      </c>
      <c r="G17" s="2">
        <v>15391</v>
      </c>
      <c r="H17" s="2">
        <v>15932</v>
      </c>
      <c r="I17" s="2">
        <v>16273</v>
      </c>
      <c r="J17" s="2">
        <v>16323</v>
      </c>
      <c r="K17" s="2">
        <v>16402</v>
      </c>
      <c r="L17" s="2">
        <v>17196</v>
      </c>
      <c r="M17" s="2">
        <v>17377</v>
      </c>
      <c r="N17" s="2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</row>
    <row r="18" spans="1:66">
      <c r="A18" s="4"/>
      <c r="B18" s="10" t="s">
        <v>10</v>
      </c>
      <c r="C18" s="2">
        <v>5685</v>
      </c>
      <c r="D18" s="2">
        <v>5976</v>
      </c>
      <c r="E18" s="2">
        <v>6456</v>
      </c>
      <c r="F18" s="2">
        <v>6792</v>
      </c>
      <c r="G18" s="2">
        <v>7357</v>
      </c>
      <c r="H18" s="2">
        <v>7749</v>
      </c>
      <c r="I18" s="2">
        <v>8051</v>
      </c>
      <c r="J18" s="2">
        <v>8914</v>
      </c>
      <c r="K18" s="2">
        <v>9980</v>
      </c>
      <c r="L18" s="2">
        <v>9717</v>
      </c>
      <c r="M18" s="2">
        <v>10184</v>
      </c>
      <c r="N18" s="2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</row>
    <row r="19" spans="1:66">
      <c r="A19" s="4"/>
      <c r="B19" s="7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</row>
    <row r="20" spans="1:66">
      <c r="A20" s="4"/>
      <c r="B20" s="9" t="s">
        <v>11</v>
      </c>
      <c r="C20" s="13">
        <f t="shared" ref="C20:J20" si="0">SUM(C7:C18)</f>
        <v>125212</v>
      </c>
      <c r="D20" s="13">
        <f t="shared" si="0"/>
        <v>126092</v>
      </c>
      <c r="E20" s="13">
        <f t="shared" si="0"/>
        <v>128726</v>
      </c>
      <c r="F20" s="13">
        <f t="shared" si="0"/>
        <v>129085</v>
      </c>
      <c r="G20" s="13">
        <f t="shared" si="0"/>
        <v>129794</v>
      </c>
      <c r="H20" s="13">
        <f t="shared" si="0"/>
        <v>130868</v>
      </c>
      <c r="I20" s="13">
        <f t="shared" si="0"/>
        <v>133387</v>
      </c>
      <c r="J20" s="13">
        <f t="shared" si="0"/>
        <v>136675</v>
      </c>
      <c r="K20" s="13">
        <f>SUM(K7:K18)</f>
        <v>136320</v>
      </c>
      <c r="L20" s="13">
        <f>SUM(L7:L18)</f>
        <v>139588</v>
      </c>
      <c r="M20" s="13">
        <f>SUM(M7:M18)</f>
        <v>143492</v>
      </c>
      <c r="N20" s="2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</row>
    <row r="21" spans="1:66">
      <c r="A21" s="4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</row>
    <row r="22" spans="1:66">
      <c r="A22" s="4"/>
      <c r="B22" s="7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</row>
    <row r="23" spans="1:66">
      <c r="A23" s="4"/>
      <c r="B23" s="7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</row>
    <row r="24" spans="1:66">
      <c r="A24" s="4"/>
      <c r="B24" s="7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</row>
    <row r="25" spans="1:66">
      <c r="A25" s="4"/>
      <c r="B25" s="8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</row>
    <row r="26" spans="1:66">
      <c r="A26" s="4"/>
      <c r="B26" s="8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</row>
    <row r="27" spans="1:6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</row>
    <row r="28" spans="1:6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</row>
    <row r="29" spans="1:6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</row>
    <row r="30" spans="1:6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</row>
    <row r="31" spans="1:6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</row>
    <row r="32" spans="1:6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</row>
    <row r="33" spans="1:6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</row>
    <row r="34" spans="1:6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</row>
    <row r="35" spans="1:6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</row>
    <row r="36" spans="1:6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</row>
    <row r="37" spans="1:6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</row>
    <row r="38" spans="1:6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</row>
    <row r="39" spans="1:6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</row>
    <row r="40" spans="1:6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</row>
    <row r="41" spans="1:6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</row>
    <row r="42" spans="1:6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</row>
    <row r="43" spans="1:6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</row>
    <row r="44" spans="1:6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</row>
    <row r="45" spans="1:6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</row>
    <row r="46" spans="1:6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</row>
    <row r="47" spans="1:6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</row>
    <row r="48" spans="1:6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</row>
    <row r="49" spans="1:6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</row>
    <row r="50" spans="1:6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</row>
    <row r="51" spans="1:6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</row>
    <row r="52" spans="1:6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</row>
    <row r="53" spans="1:6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</row>
    <row r="54" spans="1:6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</row>
    <row r="55" spans="1:6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</row>
    <row r="56" spans="1:6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</row>
    <row r="57" spans="1:6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</row>
    <row r="58" spans="1:6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</row>
    <row r="59" spans="1:6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</row>
    <row r="60" spans="1:6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</row>
    <row r="61" spans="1:6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</row>
    <row r="62" spans="1:6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</row>
    <row r="63" spans="1:6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</row>
    <row r="64" spans="1:6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</row>
    <row r="65" spans="1:6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</row>
    <row r="66" spans="1: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</row>
    <row r="67" spans="1:6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</row>
    <row r="68" spans="1:6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</row>
    <row r="69" spans="1:6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</row>
    <row r="70" spans="1:6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</row>
    <row r="71" spans="1:6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</row>
    <row r="72" spans="1:6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</row>
    <row r="73" spans="1:6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</row>
    <row r="74" spans="1:6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</row>
    <row r="75" spans="1:6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</row>
    <row r="76" spans="1:6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</row>
    <row r="77" spans="1:6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</row>
    <row r="78" spans="1:6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</row>
    <row r="79" spans="1:6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</row>
    <row r="80" spans="1:6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</row>
    <row r="81" spans="1:6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</row>
    <row r="82" spans="1:6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</row>
    <row r="83" spans="1:6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</row>
    <row r="84" spans="1:6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</row>
    <row r="85" spans="1:6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</row>
    <row r="86" spans="1:6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</row>
    <row r="87" spans="1:6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</row>
    <row r="88" spans="1:6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</row>
    <row r="89" spans="1:6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</row>
    <row r="90" spans="1:6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</row>
    <row r="91" spans="1:6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</row>
    <row r="92" spans="1:6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</row>
    <row r="93" spans="1:6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</row>
    <row r="94" spans="1:6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</row>
    <row r="95" spans="1:6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</row>
    <row r="96" spans="1:6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</row>
    <row r="97" spans="1:6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</row>
    <row r="98" spans="1:6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</row>
    <row r="99" spans="1:6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</row>
    <row r="100" spans="1:6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</row>
    <row r="101" spans="1:6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</row>
    <row r="102" spans="1:6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</row>
    <row r="103" spans="1:6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</row>
    <row r="104" spans="1:6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</row>
    <row r="105" spans="1:6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</row>
    <row r="106" spans="1:6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</row>
    <row r="107" spans="1:6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</row>
    <row r="108" spans="1:6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</row>
    <row r="109" spans="1:6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</row>
    <row r="110" spans="1:6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</row>
    <row r="111" spans="1:6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</row>
    <row r="112" spans="1:6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</row>
    <row r="113" spans="1:6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</row>
    <row r="114" spans="1:6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</row>
    <row r="115" spans="1:6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</row>
    <row r="116" spans="1:6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</row>
    <row r="117" spans="1:6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</row>
    <row r="118" spans="1:6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</row>
    <row r="119" spans="1:6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</row>
    <row r="120" spans="1:6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</row>
    <row r="121" spans="1:6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</row>
    <row r="122" spans="1:6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</row>
    <row r="123" spans="1:6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</row>
    <row r="124" spans="1:6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</row>
    <row r="125" spans="1:6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</row>
    <row r="126" spans="1:6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</row>
    <row r="127" spans="1:6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</row>
    <row r="128" spans="1:6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</row>
    <row r="129" spans="1:6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</row>
    <row r="130" spans="1:6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</row>
    <row r="131" spans="1:6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</row>
    <row r="132" spans="1:6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</row>
    <row r="133" spans="1:6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</row>
    <row r="134" spans="1:6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</row>
    <row r="135" spans="1:6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</row>
    <row r="136" spans="1:6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</row>
    <row r="137" spans="1:6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</row>
    <row r="138" spans="1:6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</row>
    <row r="139" spans="1:6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</row>
    <row r="140" spans="1:6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</row>
    <row r="141" spans="1:6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</row>
    <row r="142" spans="1:6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</row>
    <row r="143" spans="1:6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</row>
    <row r="144" spans="1:6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</row>
    <row r="145" spans="1:6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</row>
    <row r="146" spans="1:6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</row>
    <row r="147" spans="1:6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</row>
    <row r="148" spans="1:6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</row>
    <row r="149" spans="1:6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</row>
    <row r="150" spans="1:6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</row>
    <row r="151" spans="1:6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</row>
    <row r="152" spans="1:6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</row>
    <row r="153" spans="1:6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</row>
    <row r="154" spans="1:6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</row>
    <row r="155" spans="1:6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</row>
    <row r="156" spans="1:6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</row>
    <row r="157" spans="1:6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</row>
    <row r="158" spans="1:6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</row>
    <row r="159" spans="1:6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</row>
    <row r="160" spans="1:6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</row>
    <row r="161" spans="1:6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</row>
    <row r="162" spans="1:6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</row>
    <row r="163" spans="1:6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</row>
    <row r="164" spans="1:6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</row>
    <row r="165" spans="1:6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</row>
    <row r="166" spans="1: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</row>
    <row r="167" spans="1:6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</row>
    <row r="168" spans="1:6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</row>
    <row r="169" spans="1:6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</row>
    <row r="170" spans="1:6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</row>
    <row r="171" spans="1:6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</row>
    <row r="172" spans="1:6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</row>
    <row r="173" spans="1:6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</row>
    <row r="174" spans="1:6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</row>
    <row r="175" spans="1:6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</row>
    <row r="176" spans="1:6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</row>
    <row r="177" spans="1:6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</row>
    <row r="178" spans="1:6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</row>
    <row r="179" spans="1:6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</row>
    <row r="180" spans="1:6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</row>
    <row r="181" spans="1:6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</row>
    <row r="182" spans="1:6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</row>
    <row r="183" spans="1:6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</row>
    <row r="184" spans="1:6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</row>
    <row r="185" spans="1:6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</row>
    <row r="186" spans="1:6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</row>
    <row r="187" spans="1:6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</row>
    <row r="188" spans="1:6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</row>
    <row r="189" spans="1:6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</row>
    <row r="190" spans="1:6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</row>
    <row r="191" spans="1:6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</row>
    <row r="192" spans="1:6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</row>
    <row r="193" spans="1:6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</row>
    <row r="194" spans="1:6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</row>
    <row r="195" spans="1:6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</row>
    <row r="196" spans="1:6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</row>
    <row r="197" spans="1:6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</row>
    <row r="198" spans="1:6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</row>
    <row r="199" spans="1:6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</row>
    <row r="200" spans="1:6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</row>
    <row r="201" spans="1:6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</row>
    <row r="202" spans="1:6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</row>
    <row r="203" spans="1:6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</row>
    <row r="204" spans="1:66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</row>
    <row r="205" spans="1:66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</row>
    <row r="206" spans="1:6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</row>
    <row r="207" spans="1:6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</row>
    <row r="208" spans="1:66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</row>
    <row r="209" spans="1:66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</row>
    <row r="210" spans="1:66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</row>
    <row r="211" spans="1:66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</row>
    <row r="212" spans="1:66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</row>
    <row r="213" spans="1:66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</row>
    <row r="214" spans="1:66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</row>
    <row r="215" spans="1:66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</row>
    <row r="216" spans="1:6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</row>
    <row r="217" spans="1:66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</row>
    <row r="218" spans="1:66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</row>
    <row r="219" spans="1:66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</row>
    <row r="220" spans="1:66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</row>
    <row r="221" spans="1:66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</row>
    <row r="222" spans="1:66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</row>
    <row r="223" spans="1:66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</row>
    <row r="224" spans="1:66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</row>
    <row r="225" spans="1:66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</row>
    <row r="226" spans="1:6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</row>
    <row r="227" spans="1:66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</row>
    <row r="228" spans="1:66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</row>
    <row r="229" spans="1:66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</row>
    <row r="230" spans="1:66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</row>
    <row r="231" spans="1:66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</row>
    <row r="232" spans="1:66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</row>
    <row r="233" spans="1:66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</row>
    <row r="234" spans="1:66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</row>
    <row r="235" spans="1:66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</row>
    <row r="236" spans="1:6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</row>
    <row r="237" spans="1:66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</row>
    <row r="238" spans="1:66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</row>
    <row r="239" spans="1:66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</row>
    <row r="240" spans="1:66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</row>
    <row r="241" spans="1:66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</row>
    <row r="242" spans="1:66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</row>
    <row r="243" spans="1:66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</row>
    <row r="244" spans="1:66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</row>
    <row r="245" spans="1:66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</row>
    <row r="246" spans="1:6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</row>
    <row r="247" spans="1:66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</row>
    <row r="248" spans="1:66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</row>
    <row r="249" spans="1:66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</row>
    <row r="250" spans="1:66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</row>
    <row r="251" spans="1:66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</row>
    <row r="252" spans="1:66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</row>
    <row r="253" spans="1:66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</row>
    <row r="254" spans="1:66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</row>
    <row r="255" spans="1:66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</row>
    <row r="256" spans="1:6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</row>
    <row r="257" spans="1:6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</row>
    <row r="258" spans="1:6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</row>
  </sheetData>
  <mergeCells count="1">
    <mergeCell ref="A3:D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23D7E-AE8B-4839-9F1B-8ABA1D34E420}">
  <dimension ref="C6:AB31"/>
  <sheetViews>
    <sheetView topLeftCell="L1" workbookViewId="0">
      <selection activeCell="S22" sqref="S22"/>
    </sheetView>
  </sheetViews>
  <sheetFormatPr defaultRowHeight="14.4"/>
  <sheetData>
    <row r="6" spans="3:28">
      <c r="C6" t="s">
        <v>13</v>
      </c>
    </row>
    <row r="8" spans="3:28">
      <c r="D8">
        <v>1998</v>
      </c>
      <c r="E8">
        <v>1999</v>
      </c>
      <c r="F8">
        <v>2000</v>
      </c>
      <c r="G8">
        <v>2001</v>
      </c>
      <c r="H8">
        <v>2002</v>
      </c>
      <c r="I8">
        <v>2003</v>
      </c>
      <c r="J8">
        <v>2004</v>
      </c>
      <c r="K8">
        <v>2005</v>
      </c>
      <c r="L8">
        <v>2006</v>
      </c>
      <c r="M8">
        <v>2007</v>
      </c>
      <c r="N8">
        <v>2008</v>
      </c>
      <c r="O8">
        <v>2009</v>
      </c>
      <c r="P8">
        <v>2010</v>
      </c>
      <c r="Q8">
        <v>2011</v>
      </c>
      <c r="R8">
        <v>2012</v>
      </c>
      <c r="S8">
        <v>2013</v>
      </c>
      <c r="T8">
        <v>2014</v>
      </c>
      <c r="U8">
        <v>2015</v>
      </c>
      <c r="V8">
        <v>2016</v>
      </c>
      <c r="W8">
        <v>2017</v>
      </c>
      <c r="X8">
        <v>2018</v>
      </c>
      <c r="Y8">
        <v>2019</v>
      </c>
      <c r="Z8">
        <v>2020</v>
      </c>
      <c r="AA8">
        <v>2021</v>
      </c>
      <c r="AB8">
        <v>2022</v>
      </c>
    </row>
    <row r="10" spans="3:28">
      <c r="C10" t="s">
        <v>14</v>
      </c>
    </row>
    <row r="13" spans="3:28">
      <c r="C13" t="s">
        <v>15</v>
      </c>
      <c r="D13" s="14">
        <v>24032</v>
      </c>
      <c r="E13" s="14">
        <v>24161</v>
      </c>
      <c r="F13" s="14">
        <v>23877</v>
      </c>
      <c r="G13" s="14">
        <v>23419</v>
      </c>
      <c r="H13" s="14">
        <v>23084</v>
      </c>
      <c r="I13" s="14">
        <v>23447</v>
      </c>
      <c r="J13" s="14">
        <v>24145</v>
      </c>
      <c r="K13" s="14">
        <v>24868</v>
      </c>
      <c r="L13" s="14">
        <v>25607</v>
      </c>
      <c r="M13" s="14">
        <v>26358</v>
      </c>
      <c r="N13" s="14">
        <v>27132</v>
      </c>
      <c r="O13" s="14">
        <v>27931</v>
      </c>
      <c r="P13" s="14">
        <v>28754</v>
      </c>
      <c r="Q13" s="14">
        <v>29513</v>
      </c>
      <c r="R13" s="14">
        <v>30512</v>
      </c>
      <c r="S13" s="14">
        <v>31429</v>
      </c>
      <c r="T13" s="14">
        <v>32373</v>
      </c>
      <c r="U13" s="14">
        <v>33336</v>
      </c>
      <c r="V13" s="14">
        <v>34322</v>
      </c>
      <c r="W13" s="14">
        <v>35333</v>
      </c>
      <c r="X13" s="14">
        <v>36334</v>
      </c>
      <c r="Y13" s="14">
        <v>12385</v>
      </c>
      <c r="Z13" s="14">
        <v>12484</v>
      </c>
      <c r="AA13" s="14">
        <v>12407</v>
      </c>
      <c r="AB13" s="14">
        <v>12277</v>
      </c>
    </row>
    <row r="14" spans="3:28">
      <c r="C14" s="15">
        <v>45055</v>
      </c>
      <c r="D14" s="14">
        <v>19162</v>
      </c>
      <c r="E14" s="14">
        <v>20816</v>
      </c>
      <c r="F14" s="14">
        <v>22578</v>
      </c>
      <c r="G14" s="14">
        <v>24419</v>
      </c>
      <c r="H14" s="14">
        <v>25990</v>
      </c>
      <c r="I14" s="14">
        <v>26623</v>
      </c>
      <c r="J14" s="14">
        <v>26644</v>
      </c>
      <c r="K14" s="14">
        <v>26378</v>
      </c>
      <c r="L14" s="14">
        <v>25946</v>
      </c>
      <c r="M14" s="14">
        <v>25623</v>
      </c>
      <c r="N14" s="14">
        <v>25999</v>
      </c>
      <c r="O14" s="14">
        <v>26706</v>
      </c>
      <c r="P14" s="14">
        <v>27432</v>
      </c>
      <c r="Q14" s="14">
        <v>28178</v>
      </c>
      <c r="R14" s="14">
        <v>28938</v>
      </c>
      <c r="S14" s="14">
        <v>29719</v>
      </c>
      <c r="T14" s="14">
        <v>30522</v>
      </c>
      <c r="U14" s="14">
        <v>31352</v>
      </c>
      <c r="V14" s="14">
        <v>32214</v>
      </c>
      <c r="W14" s="14">
        <v>33118</v>
      </c>
      <c r="X14" s="14">
        <v>34042</v>
      </c>
      <c r="Y14" s="14">
        <v>12464</v>
      </c>
      <c r="Z14" s="14">
        <v>12489</v>
      </c>
      <c r="AA14" s="14">
        <v>12752</v>
      </c>
      <c r="AB14" s="14">
        <v>13111</v>
      </c>
    </row>
    <row r="15" spans="3:28">
      <c r="C15" s="15">
        <v>45213</v>
      </c>
      <c r="D15" s="14">
        <v>16178</v>
      </c>
      <c r="E15" s="14">
        <v>17350</v>
      </c>
      <c r="F15" s="14">
        <v>18366</v>
      </c>
      <c r="G15" s="14">
        <v>19388</v>
      </c>
      <c r="H15" s="14">
        <v>20509</v>
      </c>
      <c r="I15" s="14">
        <v>21811</v>
      </c>
      <c r="J15" s="14">
        <v>23332</v>
      </c>
      <c r="K15" s="14">
        <v>25087</v>
      </c>
      <c r="L15" s="14">
        <v>26922</v>
      </c>
      <c r="M15" s="14">
        <v>28488</v>
      </c>
      <c r="N15" s="14">
        <v>29128</v>
      </c>
      <c r="O15" s="14">
        <v>29155</v>
      </c>
      <c r="P15" s="14">
        <v>28901</v>
      </c>
      <c r="Q15" s="14">
        <v>28484</v>
      </c>
      <c r="R15" s="14">
        <v>28169</v>
      </c>
      <c r="S15" s="14">
        <v>28552</v>
      </c>
      <c r="T15" s="14">
        <v>29265</v>
      </c>
      <c r="U15" s="14">
        <v>29995</v>
      </c>
      <c r="V15" s="14">
        <v>30745</v>
      </c>
      <c r="W15" s="14">
        <v>31510</v>
      </c>
      <c r="X15" s="14">
        <v>32291</v>
      </c>
      <c r="Y15" s="14">
        <v>13765</v>
      </c>
      <c r="Z15" s="14">
        <v>13695</v>
      </c>
      <c r="AA15" s="14">
        <v>13397</v>
      </c>
      <c r="AB15" s="14">
        <v>12978</v>
      </c>
    </row>
    <row r="16" spans="3:28">
      <c r="C16" t="s">
        <v>16</v>
      </c>
      <c r="D16" s="14">
        <v>13095</v>
      </c>
      <c r="E16" s="14">
        <v>14332</v>
      </c>
      <c r="F16" s="14">
        <v>15408</v>
      </c>
      <c r="G16" s="14">
        <v>16435</v>
      </c>
      <c r="H16" s="14">
        <v>17452</v>
      </c>
      <c r="I16" s="14">
        <v>18495</v>
      </c>
      <c r="J16" s="14">
        <v>19550</v>
      </c>
      <c r="K16" s="14">
        <v>20558</v>
      </c>
      <c r="L16" s="14">
        <v>21577</v>
      </c>
      <c r="M16" s="14">
        <v>22697</v>
      </c>
      <c r="N16" s="14">
        <v>23991</v>
      </c>
      <c r="O16" s="14">
        <v>25506</v>
      </c>
      <c r="P16" s="14">
        <v>27255</v>
      </c>
      <c r="Q16" s="14">
        <v>29080</v>
      </c>
      <c r="R16" s="14">
        <v>30641</v>
      </c>
      <c r="S16" s="14">
        <v>31283</v>
      </c>
      <c r="T16" s="14">
        <v>31316</v>
      </c>
      <c r="U16" s="14">
        <v>31070</v>
      </c>
      <c r="V16" s="14">
        <v>30664</v>
      </c>
      <c r="W16" s="14">
        <v>30357</v>
      </c>
      <c r="X16" s="14">
        <v>30746</v>
      </c>
      <c r="Y16" s="14">
        <v>12247</v>
      </c>
      <c r="Z16" s="14">
        <v>12751</v>
      </c>
      <c r="AA16" s="14">
        <v>13309</v>
      </c>
      <c r="AB16" s="14">
        <v>13835</v>
      </c>
    </row>
    <row r="17" spans="3:28">
      <c r="C17" t="s">
        <v>17</v>
      </c>
      <c r="D17" s="14">
        <v>9612</v>
      </c>
      <c r="E17" s="14">
        <v>10031</v>
      </c>
      <c r="F17" s="14">
        <v>10893</v>
      </c>
      <c r="G17" s="14">
        <v>12091</v>
      </c>
      <c r="H17" s="14">
        <v>13397</v>
      </c>
      <c r="I17" s="14">
        <v>14639</v>
      </c>
      <c r="J17" s="14">
        <v>15773</v>
      </c>
      <c r="K17" s="14">
        <v>16846</v>
      </c>
      <c r="L17" s="14">
        <v>17866</v>
      </c>
      <c r="M17" s="14">
        <v>18872</v>
      </c>
      <c r="N17" s="14">
        <v>19914</v>
      </c>
      <c r="O17" s="14">
        <v>20961</v>
      </c>
      <c r="P17" s="14">
        <v>21969</v>
      </c>
      <c r="Q17" s="14">
        <v>22981</v>
      </c>
      <c r="R17" s="14">
        <v>24095</v>
      </c>
      <c r="S17" s="14">
        <v>25384</v>
      </c>
      <c r="T17" s="14">
        <v>26891</v>
      </c>
      <c r="U17" s="14">
        <v>28629</v>
      </c>
      <c r="V17" s="14">
        <v>30447</v>
      </c>
      <c r="W17" s="14">
        <v>32004</v>
      </c>
      <c r="X17" s="14">
        <v>32647</v>
      </c>
      <c r="Y17" s="14">
        <v>11572</v>
      </c>
      <c r="Z17" s="14">
        <v>11592</v>
      </c>
      <c r="AA17" s="14">
        <v>11788</v>
      </c>
      <c r="AB17" s="14">
        <v>12131</v>
      </c>
    </row>
    <row r="18" spans="3:28">
      <c r="C18" t="s">
        <v>18</v>
      </c>
      <c r="D18" s="14">
        <v>13517</v>
      </c>
      <c r="E18" s="14">
        <v>13160</v>
      </c>
      <c r="F18" s="14">
        <v>12414</v>
      </c>
      <c r="G18" s="14">
        <v>11573</v>
      </c>
      <c r="H18" s="14">
        <v>10953</v>
      </c>
      <c r="I18" s="14">
        <v>10766</v>
      </c>
      <c r="J18" s="14">
        <v>11137</v>
      </c>
      <c r="K18" s="14">
        <v>11989</v>
      </c>
      <c r="L18" s="14">
        <v>13177</v>
      </c>
      <c r="M18" s="14">
        <v>14473</v>
      </c>
      <c r="N18" s="14">
        <v>15700</v>
      </c>
      <c r="O18" s="14">
        <v>16830</v>
      </c>
      <c r="P18" s="14">
        <v>17893</v>
      </c>
      <c r="Q18" s="14">
        <v>18908</v>
      </c>
      <c r="R18" s="14">
        <v>19911</v>
      </c>
      <c r="S18" s="14">
        <v>20948</v>
      </c>
      <c r="T18" s="14">
        <v>21990</v>
      </c>
      <c r="U18" s="14">
        <v>22995</v>
      </c>
      <c r="V18" s="14">
        <v>24005</v>
      </c>
      <c r="W18" s="14">
        <v>25113</v>
      </c>
      <c r="X18" s="14">
        <v>26396</v>
      </c>
      <c r="Y18" s="14">
        <v>12957</v>
      </c>
      <c r="Z18" s="14">
        <v>12770</v>
      </c>
      <c r="AA18" s="14">
        <v>12407</v>
      </c>
      <c r="AB18" s="14">
        <v>11971</v>
      </c>
    </row>
    <row r="19" spans="3:28">
      <c r="C19" t="s">
        <v>19</v>
      </c>
      <c r="D19" s="14">
        <v>12412</v>
      </c>
      <c r="E19" s="14">
        <v>13080</v>
      </c>
      <c r="F19" s="14">
        <v>13729</v>
      </c>
      <c r="G19" s="14">
        <v>14289</v>
      </c>
      <c r="H19" s="14">
        <v>14615</v>
      </c>
      <c r="I19" s="14">
        <v>14612</v>
      </c>
      <c r="J19" s="14">
        <v>14205</v>
      </c>
      <c r="K19" s="14">
        <v>13476</v>
      </c>
      <c r="L19" s="14">
        <v>12662</v>
      </c>
      <c r="M19" s="14">
        <v>12056</v>
      </c>
      <c r="N19" s="14">
        <v>11882</v>
      </c>
      <c r="O19" s="14">
        <v>12253</v>
      </c>
      <c r="P19" s="14">
        <v>13099</v>
      </c>
      <c r="Q19" s="14">
        <v>14278</v>
      </c>
      <c r="R19" s="14">
        <v>15562</v>
      </c>
      <c r="S19" s="14">
        <v>16778</v>
      </c>
      <c r="T19" s="14">
        <v>17903</v>
      </c>
      <c r="U19" s="14">
        <v>18962</v>
      </c>
      <c r="V19" s="14">
        <v>19970</v>
      </c>
      <c r="W19" s="14">
        <v>20973</v>
      </c>
      <c r="X19" s="14">
        <v>22005</v>
      </c>
      <c r="Y19" s="14">
        <v>11280</v>
      </c>
      <c r="Z19" s="14">
        <v>11439</v>
      </c>
      <c r="AA19" s="14">
        <v>11736</v>
      </c>
      <c r="AB19" s="14">
        <v>12078</v>
      </c>
    </row>
    <row r="20" spans="3:28">
      <c r="C20" t="s">
        <v>20</v>
      </c>
      <c r="D20" s="14">
        <v>10277</v>
      </c>
      <c r="E20" s="14">
        <v>11066</v>
      </c>
      <c r="F20" s="14">
        <v>11693</v>
      </c>
      <c r="G20" s="14">
        <v>12245</v>
      </c>
      <c r="H20" s="14">
        <v>12780</v>
      </c>
      <c r="I20" s="14">
        <v>13332</v>
      </c>
      <c r="J20" s="14">
        <v>13940</v>
      </c>
      <c r="K20" s="14">
        <v>14580</v>
      </c>
      <c r="L20" s="14">
        <v>15135</v>
      </c>
      <c r="M20" s="14">
        <v>15461</v>
      </c>
      <c r="N20" s="14">
        <v>15465</v>
      </c>
      <c r="O20" s="14">
        <v>15072</v>
      </c>
      <c r="P20" s="14">
        <v>14364</v>
      </c>
      <c r="Q20" s="14">
        <v>13574</v>
      </c>
      <c r="R20" s="14">
        <v>12984</v>
      </c>
      <c r="S20" s="14">
        <v>12823</v>
      </c>
      <c r="T20" s="14">
        <v>13194</v>
      </c>
      <c r="U20" s="14">
        <v>14035</v>
      </c>
      <c r="V20" s="14">
        <v>15208</v>
      </c>
      <c r="W20" s="14">
        <v>16478</v>
      </c>
      <c r="X20" s="14">
        <v>17684</v>
      </c>
      <c r="Y20" s="14">
        <v>10414</v>
      </c>
      <c r="Z20" s="14">
        <v>10742</v>
      </c>
      <c r="AA20" s="14">
        <v>10770</v>
      </c>
      <c r="AB20" s="14">
        <v>10617</v>
      </c>
    </row>
    <row r="21" spans="3:28">
      <c r="C21" t="s">
        <v>21</v>
      </c>
      <c r="D21" s="14">
        <v>6481</v>
      </c>
      <c r="E21" s="14">
        <v>7332</v>
      </c>
      <c r="F21" s="14">
        <v>8242</v>
      </c>
      <c r="G21" s="14">
        <v>9196</v>
      </c>
      <c r="H21" s="14">
        <v>10112</v>
      </c>
      <c r="I21" s="14">
        <v>10954</v>
      </c>
      <c r="J21" s="14">
        <v>11679</v>
      </c>
      <c r="K21" s="14">
        <v>12299</v>
      </c>
      <c r="L21" s="14">
        <v>12843</v>
      </c>
      <c r="M21" s="14">
        <v>13372</v>
      </c>
      <c r="N21" s="14">
        <v>13918</v>
      </c>
      <c r="O21" s="14">
        <v>14519</v>
      </c>
      <c r="P21" s="14">
        <v>15155</v>
      </c>
      <c r="Q21" s="14">
        <v>15701</v>
      </c>
      <c r="R21" s="14">
        <v>16032</v>
      </c>
      <c r="S21" s="14">
        <v>16042</v>
      </c>
      <c r="T21" s="14">
        <v>15663</v>
      </c>
      <c r="U21" s="14">
        <v>14978</v>
      </c>
      <c r="V21" s="14">
        <v>14207</v>
      </c>
      <c r="W21" s="14">
        <v>13640</v>
      </c>
      <c r="X21" s="14">
        <v>13491</v>
      </c>
      <c r="Y21" s="14">
        <v>5523</v>
      </c>
      <c r="Z21" s="14">
        <v>6133</v>
      </c>
      <c r="AA21" s="14">
        <v>7026</v>
      </c>
      <c r="AB21" s="14">
        <v>8043</v>
      </c>
    </row>
    <row r="22" spans="3:28">
      <c r="C22" t="s">
        <v>22</v>
      </c>
      <c r="D22" s="14">
        <v>4270</v>
      </c>
      <c r="E22" s="14">
        <v>4732</v>
      </c>
      <c r="F22" s="14">
        <v>5194</v>
      </c>
      <c r="G22" s="14">
        <v>5707</v>
      </c>
      <c r="H22" s="14">
        <v>6305</v>
      </c>
      <c r="I22" s="14">
        <v>6987</v>
      </c>
      <c r="J22" s="14">
        <v>7780</v>
      </c>
      <c r="K22" s="14">
        <v>8663</v>
      </c>
      <c r="L22" s="14">
        <v>9593</v>
      </c>
      <c r="M22" s="14">
        <v>10484</v>
      </c>
      <c r="N22" s="14">
        <v>11304</v>
      </c>
      <c r="O22" s="14">
        <v>12014</v>
      </c>
      <c r="P22" s="14">
        <v>12623</v>
      </c>
      <c r="Q22" s="14">
        <v>13160</v>
      </c>
      <c r="R22" s="14">
        <v>13681</v>
      </c>
      <c r="S22" s="14">
        <v>14219</v>
      </c>
      <c r="T22" s="14">
        <v>14816</v>
      </c>
      <c r="U22" s="14">
        <v>15441</v>
      </c>
      <c r="V22" s="14">
        <v>15982</v>
      </c>
      <c r="W22" s="14">
        <v>16309</v>
      </c>
      <c r="X22" s="14">
        <v>16331</v>
      </c>
      <c r="Y22" s="14">
        <v>6719</v>
      </c>
      <c r="Z22" s="14">
        <v>6576</v>
      </c>
      <c r="AA22" s="14">
        <v>6326</v>
      </c>
      <c r="AB22" s="14">
        <v>6102</v>
      </c>
    </row>
    <row r="23" spans="3:28">
      <c r="C23" t="s">
        <v>23</v>
      </c>
      <c r="D23" s="14">
        <v>3026</v>
      </c>
      <c r="E23" s="14">
        <v>3310</v>
      </c>
      <c r="F23" s="14">
        <v>3601</v>
      </c>
      <c r="G23" s="14">
        <v>3922</v>
      </c>
      <c r="H23" s="14">
        <v>4273</v>
      </c>
      <c r="I23" s="14">
        <v>4663</v>
      </c>
      <c r="J23" s="14">
        <v>5081</v>
      </c>
      <c r="K23" s="14">
        <v>5527</v>
      </c>
      <c r="L23" s="14">
        <v>6019</v>
      </c>
      <c r="M23" s="14">
        <v>6599</v>
      </c>
      <c r="N23" s="14">
        <v>7255</v>
      </c>
      <c r="O23" s="14">
        <v>8023</v>
      </c>
      <c r="P23" s="14">
        <v>8874</v>
      </c>
      <c r="Q23" s="14">
        <v>9771</v>
      </c>
      <c r="R23" s="14">
        <v>10632</v>
      </c>
      <c r="S23" s="14">
        <v>11431</v>
      </c>
      <c r="T23" s="14">
        <v>12119</v>
      </c>
      <c r="U23" s="14">
        <v>12715</v>
      </c>
      <c r="V23" s="14">
        <v>13241</v>
      </c>
      <c r="W23" s="14">
        <v>13754</v>
      </c>
      <c r="X23" s="14">
        <v>14282</v>
      </c>
      <c r="Y23" s="14">
        <v>6457</v>
      </c>
      <c r="Z23" s="14">
        <v>6606</v>
      </c>
      <c r="AA23" s="14">
        <v>6800</v>
      </c>
      <c r="AB23" s="14">
        <v>6991</v>
      </c>
    </row>
    <row r="24" spans="3:28">
      <c r="C24" t="s">
        <v>24</v>
      </c>
      <c r="D24" s="14">
        <v>2270</v>
      </c>
      <c r="E24" s="14">
        <v>2483</v>
      </c>
      <c r="F24" s="14">
        <v>2671</v>
      </c>
      <c r="G24" s="14">
        <v>2866</v>
      </c>
      <c r="H24" s="14">
        <v>3074</v>
      </c>
      <c r="I24" s="14">
        <v>3297</v>
      </c>
      <c r="J24" s="14">
        <v>3546</v>
      </c>
      <c r="K24" s="14">
        <v>3823</v>
      </c>
      <c r="L24" s="14">
        <v>4130</v>
      </c>
      <c r="M24" s="14">
        <v>4461</v>
      </c>
      <c r="N24" s="14">
        <v>4836</v>
      </c>
      <c r="O24" s="14">
        <v>5236</v>
      </c>
      <c r="P24" s="14">
        <v>5659</v>
      </c>
      <c r="Q24" s="14">
        <v>6133</v>
      </c>
      <c r="R24" s="14">
        <v>6688</v>
      </c>
      <c r="S24" s="14">
        <v>7312</v>
      </c>
      <c r="T24" s="14">
        <v>8047</v>
      </c>
      <c r="U24" s="14">
        <v>8866</v>
      </c>
      <c r="V24" s="14">
        <v>9725</v>
      </c>
      <c r="W24" s="14">
        <v>10551</v>
      </c>
      <c r="X24" s="14">
        <v>11318</v>
      </c>
      <c r="Y24" s="14">
        <v>5531</v>
      </c>
      <c r="Z24" s="14">
        <v>5691</v>
      </c>
      <c r="AA24" s="14">
        <v>5798</v>
      </c>
      <c r="AB24" s="14">
        <v>5875</v>
      </c>
    </row>
    <row r="25" spans="3:28">
      <c r="C25" t="s">
        <v>25</v>
      </c>
      <c r="D25" s="14">
        <v>1520</v>
      </c>
      <c r="E25" s="14">
        <v>1691</v>
      </c>
      <c r="F25" s="14">
        <v>1870</v>
      </c>
      <c r="G25" s="14">
        <v>2061</v>
      </c>
      <c r="H25" s="14">
        <v>2252</v>
      </c>
      <c r="I25" s="14">
        <v>2437</v>
      </c>
      <c r="J25" s="14">
        <v>2620</v>
      </c>
      <c r="K25" s="14">
        <v>2796</v>
      </c>
      <c r="L25" s="14">
        <v>2977</v>
      </c>
      <c r="M25" s="14">
        <v>3175</v>
      </c>
      <c r="N25" s="14">
        <v>3385</v>
      </c>
      <c r="O25" s="14">
        <v>3615</v>
      </c>
      <c r="P25" s="14">
        <v>3876</v>
      </c>
      <c r="Q25" s="14">
        <v>4165</v>
      </c>
      <c r="R25" s="14">
        <v>4476</v>
      </c>
      <c r="S25" s="14">
        <v>4830</v>
      </c>
      <c r="T25" s="14">
        <v>5206</v>
      </c>
      <c r="U25" s="14">
        <v>5605</v>
      </c>
      <c r="V25" s="14">
        <v>6051</v>
      </c>
      <c r="W25" s="14">
        <v>6575</v>
      </c>
      <c r="X25" s="14">
        <v>7166</v>
      </c>
      <c r="Y25" s="14">
        <v>3529</v>
      </c>
      <c r="Z25" s="14">
        <v>3746</v>
      </c>
      <c r="AA25" s="14">
        <v>4001</v>
      </c>
      <c r="AB25" s="14">
        <v>4270</v>
      </c>
    </row>
    <row r="26" spans="3:28">
      <c r="C26" t="s">
        <v>26</v>
      </c>
      <c r="D26" s="14">
        <v>1132</v>
      </c>
      <c r="E26" s="14">
        <v>1231</v>
      </c>
      <c r="F26" s="14">
        <v>1313</v>
      </c>
      <c r="G26" s="14">
        <v>1398</v>
      </c>
      <c r="H26" s="14">
        <v>1496</v>
      </c>
      <c r="I26" s="14">
        <v>1615</v>
      </c>
      <c r="J26" s="14">
        <v>1752</v>
      </c>
      <c r="K26" s="14">
        <v>1911</v>
      </c>
      <c r="L26" s="14">
        <v>2084</v>
      </c>
      <c r="M26" s="14">
        <v>2255</v>
      </c>
      <c r="N26" s="14">
        <v>2420</v>
      </c>
      <c r="O26" s="14">
        <v>2590</v>
      </c>
      <c r="P26" s="14">
        <v>2747</v>
      </c>
      <c r="Q26" s="14">
        <v>2914</v>
      </c>
      <c r="R26" s="14">
        <v>3093</v>
      </c>
      <c r="S26" s="14">
        <v>3288</v>
      </c>
      <c r="T26" s="14">
        <v>3498</v>
      </c>
      <c r="U26" s="14">
        <v>3738</v>
      </c>
      <c r="V26" s="14">
        <v>4004</v>
      </c>
      <c r="W26" s="14">
        <v>4291</v>
      </c>
      <c r="X26" s="14">
        <v>4616</v>
      </c>
      <c r="Y26" s="14">
        <v>2328</v>
      </c>
      <c r="Z26" s="14">
        <v>2424</v>
      </c>
      <c r="AA26" s="14">
        <v>2513</v>
      </c>
      <c r="AB26" s="14">
        <v>2608</v>
      </c>
    </row>
    <row r="27" spans="3:28">
      <c r="C27" t="s">
        <v>27</v>
      </c>
      <c r="D27">
        <v>671</v>
      </c>
      <c r="E27">
        <v>770</v>
      </c>
      <c r="F27">
        <v>865</v>
      </c>
      <c r="G27">
        <v>956</v>
      </c>
      <c r="H27" s="14">
        <v>1042</v>
      </c>
      <c r="I27" s="14">
        <v>1122</v>
      </c>
      <c r="J27" s="14">
        <v>1195</v>
      </c>
      <c r="K27" s="14">
        <v>1267</v>
      </c>
      <c r="L27" s="14">
        <v>1339</v>
      </c>
      <c r="M27" s="14">
        <v>1424</v>
      </c>
      <c r="N27" s="14">
        <v>1525</v>
      </c>
      <c r="O27" s="14">
        <v>1642</v>
      </c>
      <c r="P27" s="14">
        <v>1779</v>
      </c>
      <c r="Q27" s="14">
        <v>1924</v>
      </c>
      <c r="R27" s="14">
        <v>2073</v>
      </c>
      <c r="S27" s="14">
        <v>2213</v>
      </c>
      <c r="T27" s="14">
        <v>2360</v>
      </c>
      <c r="U27" s="14">
        <v>2503</v>
      </c>
      <c r="V27" s="14">
        <v>2647</v>
      </c>
      <c r="W27" s="14">
        <v>2805</v>
      </c>
      <c r="X27" s="14">
        <v>2979</v>
      </c>
      <c r="Y27" s="14">
        <v>1315</v>
      </c>
      <c r="Z27" s="14">
        <v>1397</v>
      </c>
      <c r="AA27" s="14">
        <v>1492</v>
      </c>
      <c r="AB27" s="14">
        <v>1593</v>
      </c>
    </row>
    <row r="28" spans="3:28">
      <c r="C28" t="s">
        <v>28</v>
      </c>
      <c r="D28">
        <v>654</v>
      </c>
      <c r="E28">
        <v>743</v>
      </c>
      <c r="F28">
        <v>830</v>
      </c>
      <c r="G28">
        <v>927</v>
      </c>
      <c r="H28" s="14">
        <v>1032</v>
      </c>
      <c r="I28" s="14">
        <v>1147</v>
      </c>
      <c r="J28" s="14">
        <v>1269</v>
      </c>
      <c r="K28" s="14">
        <v>1400</v>
      </c>
      <c r="L28" s="14">
        <v>1536</v>
      </c>
      <c r="M28" s="14">
        <v>1676</v>
      </c>
      <c r="N28" s="14">
        <v>1820</v>
      </c>
      <c r="O28" s="14">
        <v>1963</v>
      </c>
      <c r="P28" s="14">
        <v>2115</v>
      </c>
      <c r="Q28" s="14">
        <v>2272</v>
      </c>
      <c r="R28" s="14">
        <v>2441</v>
      </c>
      <c r="S28" s="14">
        <v>2629</v>
      </c>
      <c r="T28" s="14">
        <v>2831</v>
      </c>
      <c r="U28" s="14">
        <v>3050</v>
      </c>
      <c r="V28" s="14">
        <v>3286</v>
      </c>
      <c r="W28" s="14">
        <v>3534</v>
      </c>
      <c r="X28" s="14">
        <v>3790</v>
      </c>
      <c r="Y28">
        <v>916</v>
      </c>
      <c r="Z28">
        <v>969</v>
      </c>
      <c r="AA28" s="14">
        <v>1020</v>
      </c>
      <c r="AB28" s="14">
        <v>1074</v>
      </c>
    </row>
    <row r="29" spans="3:28">
      <c r="C29" t="s">
        <v>29</v>
      </c>
      <c r="Y29">
        <v>761</v>
      </c>
      <c r="Z29">
        <v>761</v>
      </c>
      <c r="AA29">
        <v>776</v>
      </c>
      <c r="AB29">
        <v>799</v>
      </c>
    </row>
    <row r="31" spans="3:28">
      <c r="C31" t="s">
        <v>11</v>
      </c>
      <c r="D31" s="14">
        <v>138309</v>
      </c>
      <c r="E31" s="14">
        <v>146288</v>
      </c>
      <c r="F31" s="14">
        <v>153544</v>
      </c>
      <c r="G31" s="14">
        <v>160892</v>
      </c>
      <c r="H31" s="14">
        <v>168366</v>
      </c>
      <c r="I31" s="14">
        <v>175947</v>
      </c>
      <c r="J31" s="14">
        <v>183648</v>
      </c>
      <c r="K31" s="14">
        <v>191468</v>
      </c>
      <c r="L31" s="14">
        <v>199413</v>
      </c>
      <c r="M31" s="14">
        <v>207474</v>
      </c>
      <c r="N31" s="14">
        <v>215674</v>
      </c>
      <c r="O31" s="14">
        <v>224016</v>
      </c>
      <c r="P31" s="14">
        <v>232495</v>
      </c>
      <c r="Q31" s="14">
        <v>241136</v>
      </c>
      <c r="R31" s="14">
        <v>249928</v>
      </c>
      <c r="S31" s="14">
        <v>258880</v>
      </c>
      <c r="T31" s="14">
        <v>267994</v>
      </c>
      <c r="U31" s="14">
        <v>277270</v>
      </c>
      <c r="V31" s="14">
        <v>286718</v>
      </c>
      <c r="W31" s="14">
        <v>296345</v>
      </c>
      <c r="X31" s="14">
        <v>306118</v>
      </c>
      <c r="Y31" s="14">
        <v>130164</v>
      </c>
      <c r="Z31" s="14">
        <v>132264</v>
      </c>
      <c r="AA31" s="14">
        <v>134320</v>
      </c>
      <c r="AB31" s="14">
        <v>136354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CFAAA-7FB0-44F0-A319-AC39ADBD435A}">
  <dimension ref="B3:AB67"/>
  <sheetViews>
    <sheetView topLeftCell="A70" workbookViewId="0">
      <selection activeCell="A34" sqref="A34"/>
    </sheetView>
  </sheetViews>
  <sheetFormatPr defaultRowHeight="14.4"/>
  <sheetData>
    <row r="3" spans="2:8">
      <c r="B3" s="85" t="s">
        <v>30</v>
      </c>
      <c r="C3" s="85"/>
      <c r="E3" s="84" t="s">
        <v>30</v>
      </c>
      <c r="F3" s="84"/>
      <c r="G3" s="84"/>
      <c r="H3" s="84"/>
    </row>
    <row r="4" spans="2:8">
      <c r="B4" s="86" t="s">
        <v>31</v>
      </c>
      <c r="C4" s="87"/>
      <c r="E4" s="84" t="s">
        <v>35</v>
      </c>
      <c r="F4" s="84"/>
      <c r="G4" s="84"/>
      <c r="H4" s="84"/>
    </row>
    <row r="5" spans="2:8">
      <c r="B5" s="86" t="s">
        <v>32</v>
      </c>
      <c r="C5" s="87"/>
      <c r="E5" s="84" t="s">
        <v>36</v>
      </c>
      <c r="F5" s="84"/>
      <c r="G5" s="84"/>
      <c r="H5" s="84"/>
    </row>
    <row r="6" spans="2:8" ht="15" thickBot="1">
      <c r="B6" s="16"/>
      <c r="C6" s="17"/>
      <c r="E6" s="25"/>
      <c r="F6" s="25"/>
      <c r="G6" s="25"/>
      <c r="H6" s="25"/>
    </row>
    <row r="7" spans="2:8" ht="15" thickBot="1">
      <c r="B7" s="18" t="s">
        <v>33</v>
      </c>
      <c r="C7" s="19" t="s">
        <v>34</v>
      </c>
      <c r="E7" s="26"/>
      <c r="F7" s="80" t="s">
        <v>37</v>
      </c>
      <c r="G7" s="81"/>
      <c r="H7" s="82"/>
    </row>
    <row r="8" spans="2:8" ht="15" thickBot="1">
      <c r="B8" s="20"/>
      <c r="C8" s="21"/>
      <c r="E8" s="27" t="s">
        <v>33</v>
      </c>
      <c r="F8" s="22" t="s">
        <v>38</v>
      </c>
      <c r="G8" s="22" t="s">
        <v>39</v>
      </c>
      <c r="H8" s="22" t="s">
        <v>40</v>
      </c>
    </row>
    <row r="9" spans="2:8">
      <c r="B9" s="20">
        <v>1998</v>
      </c>
      <c r="C9" s="23">
        <v>3.99</v>
      </c>
      <c r="E9" s="28"/>
      <c r="F9" s="25"/>
      <c r="G9" s="25"/>
      <c r="H9" s="21"/>
    </row>
    <row r="10" spans="2:8">
      <c r="B10" s="20">
        <v>1999</v>
      </c>
      <c r="C10" s="23">
        <v>3.94</v>
      </c>
      <c r="E10" s="29">
        <v>1998</v>
      </c>
      <c r="F10" s="30">
        <v>3.99</v>
      </c>
      <c r="G10" s="30">
        <v>3.99</v>
      </c>
      <c r="H10" s="31">
        <v>3.99</v>
      </c>
    </row>
    <row r="11" spans="2:8">
      <c r="B11" s="20">
        <v>2000</v>
      </c>
      <c r="C11" s="23">
        <v>3.88</v>
      </c>
      <c r="E11" s="29">
        <v>1999</v>
      </c>
      <c r="F11" s="30">
        <v>3.89</v>
      </c>
      <c r="G11" s="30">
        <v>3.94</v>
      </c>
      <c r="H11" s="31">
        <v>3.97</v>
      </c>
    </row>
    <row r="12" spans="2:8">
      <c r="B12" s="20">
        <v>2001</v>
      </c>
      <c r="C12" s="23">
        <v>3.83</v>
      </c>
      <c r="E12" s="29">
        <v>2000</v>
      </c>
      <c r="F12" s="30">
        <v>3.79</v>
      </c>
      <c r="G12" s="30">
        <v>3.88</v>
      </c>
      <c r="H12" s="31">
        <v>3.94</v>
      </c>
    </row>
    <row r="13" spans="2:8">
      <c r="B13" s="20">
        <v>2002</v>
      </c>
      <c r="C13" s="23">
        <v>3.78</v>
      </c>
      <c r="E13" s="29">
        <v>2001</v>
      </c>
      <c r="F13" s="30">
        <v>3.69</v>
      </c>
      <c r="G13" s="30">
        <v>3.83</v>
      </c>
      <c r="H13" s="31">
        <v>3.92</v>
      </c>
    </row>
    <row r="14" spans="2:8">
      <c r="B14" s="20">
        <v>2003</v>
      </c>
      <c r="C14" s="23">
        <v>3.73</v>
      </c>
      <c r="E14" s="29">
        <v>2002</v>
      </c>
      <c r="F14" s="30">
        <v>3.6</v>
      </c>
      <c r="G14" s="30">
        <v>3.78</v>
      </c>
      <c r="H14" s="31">
        <v>3.9</v>
      </c>
    </row>
    <row r="15" spans="2:8">
      <c r="B15" s="20">
        <v>2004</v>
      </c>
      <c r="C15" s="23">
        <v>3.68</v>
      </c>
      <c r="E15" s="29">
        <v>2003</v>
      </c>
      <c r="F15" s="30">
        <v>3.51</v>
      </c>
      <c r="G15" s="30">
        <v>3.73</v>
      </c>
      <c r="H15" s="31">
        <v>3.87</v>
      </c>
    </row>
    <row r="16" spans="2:8">
      <c r="B16" s="20">
        <v>2005</v>
      </c>
      <c r="C16" s="23">
        <v>3.63</v>
      </c>
      <c r="E16" s="29">
        <v>2004</v>
      </c>
      <c r="F16" s="30">
        <v>3.42</v>
      </c>
      <c r="G16" s="30">
        <v>3.68</v>
      </c>
      <c r="H16" s="31">
        <v>3.85</v>
      </c>
    </row>
    <row r="17" spans="2:8">
      <c r="B17" s="20">
        <v>2006</v>
      </c>
      <c r="C17" s="23">
        <v>3.58</v>
      </c>
      <c r="E17" s="29">
        <v>2005</v>
      </c>
      <c r="F17" s="30">
        <v>3.34</v>
      </c>
      <c r="G17" s="30">
        <v>3.63</v>
      </c>
      <c r="H17" s="31">
        <v>3.83</v>
      </c>
    </row>
    <row r="18" spans="2:8">
      <c r="B18" s="20">
        <v>2007</v>
      </c>
      <c r="C18" s="23">
        <v>3.53</v>
      </c>
      <c r="E18" s="29">
        <v>2006</v>
      </c>
      <c r="F18" s="30">
        <v>3.26</v>
      </c>
      <c r="G18" s="30">
        <v>3.58</v>
      </c>
      <c r="H18" s="31">
        <v>3.8</v>
      </c>
    </row>
    <row r="19" spans="2:8">
      <c r="B19" s="20">
        <v>2008</v>
      </c>
      <c r="C19" s="23">
        <v>3.49</v>
      </c>
      <c r="E19" s="29">
        <v>2007</v>
      </c>
      <c r="F19" s="30">
        <v>3.18</v>
      </c>
      <c r="G19" s="30">
        <v>3.53</v>
      </c>
      <c r="H19" s="31">
        <v>3.78</v>
      </c>
    </row>
    <row r="20" spans="2:8">
      <c r="B20" s="20">
        <v>2009</v>
      </c>
      <c r="C20" s="23">
        <v>3.44</v>
      </c>
      <c r="E20" s="29">
        <v>2008</v>
      </c>
      <c r="F20" s="30">
        <v>3.11</v>
      </c>
      <c r="G20" s="30">
        <v>3.49</v>
      </c>
      <c r="H20" s="31">
        <v>3.76</v>
      </c>
    </row>
    <row r="21" spans="2:8">
      <c r="B21" s="20">
        <v>2010</v>
      </c>
      <c r="C21" s="23">
        <v>3.4</v>
      </c>
      <c r="E21" s="29">
        <v>2009</v>
      </c>
      <c r="F21" s="30">
        <v>3.04</v>
      </c>
      <c r="G21" s="30">
        <v>3.44</v>
      </c>
      <c r="H21" s="31">
        <v>3.74</v>
      </c>
    </row>
    <row r="22" spans="2:8">
      <c r="B22" s="20">
        <v>2011</v>
      </c>
      <c r="C22" s="23">
        <v>3.35</v>
      </c>
      <c r="E22" s="29">
        <v>2010</v>
      </c>
      <c r="F22" s="30">
        <v>2.97</v>
      </c>
      <c r="G22" s="30">
        <v>3.4</v>
      </c>
      <c r="H22" s="31">
        <v>3.71</v>
      </c>
    </row>
    <row r="23" spans="2:8">
      <c r="B23" s="20">
        <v>2012</v>
      </c>
      <c r="C23" s="23">
        <v>3.31</v>
      </c>
      <c r="E23" s="29">
        <v>2011</v>
      </c>
      <c r="F23" s="30">
        <v>2.91</v>
      </c>
      <c r="G23" s="30">
        <v>3.35</v>
      </c>
      <c r="H23" s="31">
        <v>3.69</v>
      </c>
    </row>
    <row r="24" spans="2:8">
      <c r="B24" s="20">
        <v>2013</v>
      </c>
      <c r="C24" s="23">
        <v>3.27</v>
      </c>
      <c r="E24" s="29">
        <v>2012</v>
      </c>
      <c r="F24" s="30">
        <v>2.85</v>
      </c>
      <c r="G24" s="30">
        <v>3.31</v>
      </c>
      <c r="H24" s="31">
        <v>3.67</v>
      </c>
    </row>
    <row r="25" spans="2:8">
      <c r="B25" s="20">
        <v>2014</v>
      </c>
      <c r="C25" s="23">
        <v>3.23</v>
      </c>
      <c r="E25" s="29">
        <v>2013</v>
      </c>
      <c r="F25" s="30">
        <v>2.8</v>
      </c>
      <c r="G25" s="30">
        <v>3.27</v>
      </c>
      <c r="H25" s="31">
        <v>3.65</v>
      </c>
    </row>
    <row r="26" spans="2:8">
      <c r="B26" s="20">
        <v>2015</v>
      </c>
      <c r="C26" s="23">
        <v>3.18</v>
      </c>
      <c r="E26" s="29">
        <v>2014</v>
      </c>
      <c r="F26" s="30">
        <v>2.75</v>
      </c>
      <c r="G26" s="30">
        <v>3.23</v>
      </c>
      <c r="H26" s="31">
        <v>3.63</v>
      </c>
    </row>
    <row r="27" spans="2:8">
      <c r="B27" s="20">
        <v>2016</v>
      </c>
      <c r="C27" s="23">
        <v>3.15</v>
      </c>
      <c r="E27" s="29">
        <v>2015</v>
      </c>
      <c r="F27" s="30">
        <v>2.7</v>
      </c>
      <c r="G27" s="30">
        <v>3.18</v>
      </c>
      <c r="H27" s="31">
        <v>3.6</v>
      </c>
    </row>
    <row r="28" spans="2:8">
      <c r="B28" s="20">
        <v>2017</v>
      </c>
      <c r="C28" s="23">
        <v>3.11</v>
      </c>
      <c r="E28" s="29">
        <v>2016</v>
      </c>
      <c r="F28" s="30">
        <v>2.65</v>
      </c>
      <c r="G28" s="30">
        <v>3.15</v>
      </c>
      <c r="H28" s="31">
        <v>3.58</v>
      </c>
    </row>
    <row r="29" spans="2:8">
      <c r="B29" s="20">
        <v>2018</v>
      </c>
      <c r="C29" s="23">
        <v>3.07</v>
      </c>
      <c r="E29" s="29">
        <v>2017</v>
      </c>
      <c r="F29" s="30">
        <v>2.61</v>
      </c>
      <c r="G29" s="30">
        <v>3.11</v>
      </c>
      <c r="H29" s="31">
        <v>3.56</v>
      </c>
    </row>
    <row r="30" spans="2:8">
      <c r="B30" s="20">
        <v>2019</v>
      </c>
      <c r="C30" s="23">
        <v>3.03</v>
      </c>
      <c r="E30" s="29">
        <v>2018</v>
      </c>
      <c r="F30" s="30">
        <v>2.57</v>
      </c>
      <c r="G30" s="30">
        <v>3.07</v>
      </c>
      <c r="H30" s="31">
        <v>3.54</v>
      </c>
    </row>
    <row r="31" spans="2:8" ht="15" thickBot="1">
      <c r="B31" s="24">
        <v>2020</v>
      </c>
      <c r="C31" s="22">
        <v>3</v>
      </c>
      <c r="E31" s="29">
        <v>2019</v>
      </c>
      <c r="F31" s="30">
        <v>2.5299999999999998</v>
      </c>
      <c r="G31" s="30">
        <v>3.03</v>
      </c>
      <c r="H31" s="31">
        <v>3.52</v>
      </c>
    </row>
    <row r="32" spans="2:8">
      <c r="E32" s="29">
        <v>2020</v>
      </c>
      <c r="F32" s="30">
        <v>2.5</v>
      </c>
      <c r="G32" s="30">
        <v>3</v>
      </c>
      <c r="H32" s="31">
        <v>3.5</v>
      </c>
    </row>
    <row r="33" spans="2:28" ht="15" thickBot="1">
      <c r="E33" s="32"/>
      <c r="F33" s="33"/>
      <c r="G33" s="33"/>
      <c r="H33" s="34"/>
    </row>
    <row r="38" spans="2:28" ht="15.6">
      <c r="B38" s="83" t="s">
        <v>41</v>
      </c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</row>
    <row r="39" spans="2:28" ht="15.6">
      <c r="B39" s="83" t="s">
        <v>42</v>
      </c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</row>
    <row r="40" spans="2:28" ht="15.6">
      <c r="B40" s="35"/>
      <c r="C40" s="35"/>
      <c r="D40" s="79"/>
      <c r="E40" s="79"/>
      <c r="F40" s="79"/>
      <c r="G40" s="79"/>
      <c r="H40" s="79"/>
      <c r="I40" s="79"/>
      <c r="J40" s="35"/>
      <c r="K40" s="35"/>
      <c r="L40" s="35"/>
      <c r="M40" s="35"/>
      <c r="N40" s="35"/>
      <c r="O40" s="35"/>
      <c r="P40" s="35"/>
      <c r="Q40" s="35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</row>
    <row r="41" spans="2:28">
      <c r="B41" s="36" t="s">
        <v>43</v>
      </c>
      <c r="C41" s="78" t="s">
        <v>33</v>
      </c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</row>
    <row r="42" spans="2:28">
      <c r="B42" s="39"/>
      <c r="C42" s="78">
        <v>1998</v>
      </c>
      <c r="D42" s="78"/>
      <c r="E42" s="78">
        <v>1999</v>
      </c>
      <c r="F42" s="78"/>
      <c r="G42" s="78">
        <v>2000</v>
      </c>
      <c r="H42" s="78"/>
      <c r="I42" s="36">
        <v>2001</v>
      </c>
      <c r="J42" s="36">
        <v>2002</v>
      </c>
      <c r="K42" s="36">
        <v>2003</v>
      </c>
      <c r="L42" s="36">
        <v>2004</v>
      </c>
      <c r="M42" s="40">
        <v>2005</v>
      </c>
      <c r="N42" s="40">
        <v>2006</v>
      </c>
      <c r="O42" s="36">
        <v>2007</v>
      </c>
      <c r="P42" s="36">
        <v>2008</v>
      </c>
      <c r="Q42" s="36">
        <v>2009</v>
      </c>
      <c r="R42" s="36">
        <v>2010</v>
      </c>
      <c r="S42" s="36">
        <v>2011</v>
      </c>
      <c r="T42" s="36">
        <v>2012</v>
      </c>
      <c r="U42" s="36">
        <v>2013</v>
      </c>
      <c r="V42" s="40">
        <v>2014</v>
      </c>
      <c r="W42" s="40">
        <v>2015</v>
      </c>
      <c r="X42" s="36">
        <v>2016</v>
      </c>
      <c r="Y42" s="36">
        <v>2017</v>
      </c>
      <c r="Z42" s="36">
        <v>2018</v>
      </c>
      <c r="AA42" s="36">
        <v>2019</v>
      </c>
      <c r="AB42" s="36">
        <v>2020</v>
      </c>
    </row>
    <row r="43" spans="2:28">
      <c r="B43" s="35"/>
      <c r="C43" s="79"/>
      <c r="D43" s="79"/>
      <c r="E43" s="79"/>
      <c r="F43" s="79"/>
      <c r="G43" s="79"/>
      <c r="H43" s="79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2:28" ht="22.8">
      <c r="B44" s="35" t="s">
        <v>44</v>
      </c>
      <c r="C44" s="77">
        <v>4.3</v>
      </c>
      <c r="D44" s="77"/>
      <c r="E44" s="77">
        <v>4.24</v>
      </c>
      <c r="F44" s="77"/>
      <c r="G44" s="77">
        <v>4.1900000000000004</v>
      </c>
      <c r="H44" s="77"/>
      <c r="I44" s="37">
        <v>4.13</v>
      </c>
      <c r="J44" s="37">
        <v>4.08</v>
      </c>
      <c r="K44" s="37">
        <v>4.0199999999999996</v>
      </c>
      <c r="L44" s="37">
        <v>3.97</v>
      </c>
      <c r="M44" s="37">
        <v>3.91</v>
      </c>
      <c r="N44" s="37">
        <v>3.86</v>
      </c>
      <c r="O44" s="37">
        <v>3.81</v>
      </c>
      <c r="P44" s="37">
        <v>3.76</v>
      </c>
      <c r="Q44" s="37">
        <v>3.7</v>
      </c>
      <c r="R44" s="37">
        <v>3.65</v>
      </c>
      <c r="S44" s="37">
        <v>3.6</v>
      </c>
      <c r="T44" s="37">
        <v>3.56</v>
      </c>
      <c r="U44" s="37">
        <v>3.51</v>
      </c>
      <c r="V44" s="37">
        <v>3.46</v>
      </c>
      <c r="W44" s="37">
        <v>3.41</v>
      </c>
      <c r="X44" s="37">
        <v>3.37</v>
      </c>
      <c r="Y44" s="37">
        <v>3.33</v>
      </c>
      <c r="Z44" s="37">
        <v>3.28</v>
      </c>
      <c r="AA44" s="37">
        <v>3.24</v>
      </c>
      <c r="AB44" s="37">
        <v>3.2</v>
      </c>
    </row>
    <row r="45" spans="2:28" ht="22.8">
      <c r="B45" s="35" t="s">
        <v>45</v>
      </c>
      <c r="C45" s="77">
        <v>4.5</v>
      </c>
      <c r="D45" s="77"/>
      <c r="E45" s="77">
        <v>4.45</v>
      </c>
      <c r="F45" s="77"/>
      <c r="G45" s="77">
        <v>4.3899999999999997</v>
      </c>
      <c r="H45" s="77"/>
      <c r="I45" s="37">
        <v>4.34</v>
      </c>
      <c r="J45" s="37">
        <v>4.28</v>
      </c>
      <c r="K45" s="37">
        <v>4.2300000000000004</v>
      </c>
      <c r="L45" s="37">
        <v>4.17</v>
      </c>
      <c r="M45" s="37">
        <v>4.12</v>
      </c>
      <c r="N45" s="37">
        <v>4.0599999999999996</v>
      </c>
      <c r="O45" s="37">
        <v>4.01</v>
      </c>
      <c r="P45" s="37">
        <v>3.96</v>
      </c>
      <c r="Q45" s="37">
        <v>3.91</v>
      </c>
      <c r="R45" s="37">
        <v>3.86</v>
      </c>
      <c r="S45" s="37">
        <v>3.8</v>
      </c>
      <c r="T45" s="37">
        <v>3.75</v>
      </c>
      <c r="U45" s="37">
        <v>3.7</v>
      </c>
      <c r="V45" s="37">
        <v>3.66</v>
      </c>
      <c r="W45" s="37">
        <v>3.61</v>
      </c>
      <c r="X45" s="37">
        <v>3.56</v>
      </c>
      <c r="Y45" s="37">
        <v>3.51</v>
      </c>
      <c r="Z45" s="37">
        <v>3.47</v>
      </c>
      <c r="AA45" s="37">
        <v>3.42</v>
      </c>
      <c r="AB45" s="37">
        <v>3.38</v>
      </c>
    </row>
    <row r="46" spans="2:28" ht="22.8">
      <c r="B46" s="35" t="s">
        <v>46</v>
      </c>
      <c r="C46" s="77">
        <v>4.1500000000000004</v>
      </c>
      <c r="D46" s="77"/>
      <c r="E46" s="77">
        <v>4.09</v>
      </c>
      <c r="F46" s="77"/>
      <c r="G46" s="77">
        <v>4.03</v>
      </c>
      <c r="H46" s="77"/>
      <c r="I46" s="37">
        <v>3.97</v>
      </c>
      <c r="J46" s="37">
        <v>3.91</v>
      </c>
      <c r="K46" s="37">
        <v>3.86</v>
      </c>
      <c r="L46" s="37">
        <v>3.8</v>
      </c>
      <c r="M46" s="37">
        <v>3.74</v>
      </c>
      <c r="N46" s="37">
        <v>3.69</v>
      </c>
      <c r="O46" s="37">
        <v>3.63</v>
      </c>
      <c r="P46" s="37">
        <v>3.58</v>
      </c>
      <c r="Q46" s="37">
        <v>3.53</v>
      </c>
      <c r="R46" s="37">
        <v>3.48</v>
      </c>
      <c r="S46" s="37">
        <v>3.43</v>
      </c>
      <c r="T46" s="37">
        <v>3.38</v>
      </c>
      <c r="U46" s="37">
        <v>3.33</v>
      </c>
      <c r="V46" s="37">
        <v>3.28</v>
      </c>
      <c r="W46" s="37">
        <v>3.24</v>
      </c>
      <c r="X46" s="37">
        <v>3.19</v>
      </c>
      <c r="Y46" s="37">
        <v>3.15</v>
      </c>
      <c r="Z46" s="37">
        <v>3.11</v>
      </c>
      <c r="AA46" s="37">
        <v>3.07</v>
      </c>
      <c r="AB46" s="37">
        <v>3.03</v>
      </c>
    </row>
    <row r="47" spans="2:28" ht="22.8">
      <c r="B47" s="35" t="s">
        <v>47</v>
      </c>
      <c r="C47" s="77">
        <v>5.2</v>
      </c>
      <c r="D47" s="77"/>
      <c r="E47" s="77">
        <v>5.14</v>
      </c>
      <c r="F47" s="77"/>
      <c r="G47" s="77">
        <v>5.09</v>
      </c>
      <c r="H47" s="77"/>
      <c r="I47" s="37">
        <v>5.03</v>
      </c>
      <c r="J47" s="37">
        <v>4.97</v>
      </c>
      <c r="K47" s="37">
        <v>4.92</v>
      </c>
      <c r="L47" s="37">
        <v>4.8600000000000003</v>
      </c>
      <c r="M47" s="37">
        <v>4.8</v>
      </c>
      <c r="N47" s="37">
        <v>4.74</v>
      </c>
      <c r="O47" s="37">
        <v>4.68</v>
      </c>
      <c r="P47" s="37">
        <v>4.62</v>
      </c>
      <c r="Q47" s="37">
        <v>4.5599999999999996</v>
      </c>
      <c r="R47" s="37">
        <v>4.5</v>
      </c>
      <c r="S47" s="37">
        <v>4.43</v>
      </c>
      <c r="T47" s="37">
        <v>4.37</v>
      </c>
      <c r="U47" s="37">
        <v>4.3099999999999996</v>
      </c>
      <c r="V47" s="37">
        <v>4.25</v>
      </c>
      <c r="W47" s="37">
        <v>4.1900000000000004</v>
      </c>
      <c r="X47" s="37">
        <v>4.13</v>
      </c>
      <c r="Y47" s="37">
        <v>4.07</v>
      </c>
      <c r="Z47" s="37">
        <v>4.0199999999999996</v>
      </c>
      <c r="AA47" s="37">
        <v>3.96</v>
      </c>
      <c r="AB47" s="37">
        <v>3.9</v>
      </c>
    </row>
    <row r="48" spans="2:28" ht="22.8">
      <c r="B48" s="35" t="s">
        <v>48</v>
      </c>
      <c r="C48" s="77">
        <v>4.5999999999999996</v>
      </c>
      <c r="D48" s="77"/>
      <c r="E48" s="77">
        <v>4.54</v>
      </c>
      <c r="F48" s="77"/>
      <c r="G48" s="77">
        <v>4.49</v>
      </c>
      <c r="H48" s="77"/>
      <c r="I48" s="37">
        <v>4.43</v>
      </c>
      <c r="J48" s="37">
        <v>4.38</v>
      </c>
      <c r="K48" s="37">
        <v>4.32</v>
      </c>
      <c r="L48" s="37">
        <v>4.2699999999999996</v>
      </c>
      <c r="M48" s="37">
        <v>4.21</v>
      </c>
      <c r="N48" s="37">
        <v>4.16</v>
      </c>
      <c r="O48" s="37">
        <v>4.0999999999999996</v>
      </c>
      <c r="P48" s="37">
        <v>4.05</v>
      </c>
      <c r="Q48" s="37">
        <v>4</v>
      </c>
      <c r="R48" s="37">
        <v>3.94</v>
      </c>
      <c r="S48" s="37">
        <v>3.89</v>
      </c>
      <c r="T48" s="37">
        <v>3.84</v>
      </c>
      <c r="U48" s="37">
        <v>3.79</v>
      </c>
      <c r="V48" s="37">
        <v>3.74</v>
      </c>
      <c r="W48" s="37">
        <v>3.69</v>
      </c>
      <c r="X48" s="37">
        <v>3.64</v>
      </c>
      <c r="Y48" s="37">
        <v>3.59</v>
      </c>
      <c r="Z48" s="37">
        <v>3.54</v>
      </c>
      <c r="AA48" s="37">
        <v>3.5</v>
      </c>
      <c r="AB48" s="37">
        <v>3.45</v>
      </c>
    </row>
    <row r="49" spans="2:28" ht="22.8">
      <c r="B49" s="35" t="s">
        <v>49</v>
      </c>
      <c r="C49" s="77">
        <v>4.3</v>
      </c>
      <c r="D49" s="77"/>
      <c r="E49" s="77">
        <v>4.24</v>
      </c>
      <c r="F49" s="77"/>
      <c r="G49" s="77">
        <v>4.1900000000000004</v>
      </c>
      <c r="H49" s="77"/>
      <c r="I49" s="37">
        <v>4.13</v>
      </c>
      <c r="J49" s="37">
        <v>4.08</v>
      </c>
      <c r="K49" s="37">
        <v>4.0199999999999996</v>
      </c>
      <c r="L49" s="37">
        <v>3.97</v>
      </c>
      <c r="M49" s="37">
        <v>3.91</v>
      </c>
      <c r="N49" s="37">
        <v>3.86</v>
      </c>
      <c r="O49" s="37">
        <v>3.81</v>
      </c>
      <c r="P49" s="37">
        <v>3.76</v>
      </c>
      <c r="Q49" s="37">
        <v>3.7</v>
      </c>
      <c r="R49" s="37">
        <v>3.65</v>
      </c>
      <c r="S49" s="37">
        <v>3.6</v>
      </c>
      <c r="T49" s="37">
        <v>3.56</v>
      </c>
      <c r="U49" s="37">
        <v>3.51</v>
      </c>
      <c r="V49" s="37">
        <v>3.46</v>
      </c>
      <c r="W49" s="37">
        <v>3.41</v>
      </c>
      <c r="X49" s="37">
        <v>3.37</v>
      </c>
      <c r="Y49" s="37">
        <v>3.33</v>
      </c>
      <c r="Z49" s="37">
        <v>3.28</v>
      </c>
      <c r="AA49" s="37">
        <v>3.24</v>
      </c>
      <c r="AB49" s="37">
        <v>3.2</v>
      </c>
    </row>
    <row r="50" spans="2:28">
      <c r="B50" s="35" t="s">
        <v>50</v>
      </c>
      <c r="C50" s="77">
        <v>4.0999999999999996</v>
      </c>
      <c r="D50" s="77"/>
      <c r="E50" s="77">
        <v>4.05</v>
      </c>
      <c r="F50" s="77"/>
      <c r="G50" s="77">
        <v>3.99</v>
      </c>
      <c r="H50" s="77"/>
      <c r="I50" s="37">
        <v>3.94</v>
      </c>
      <c r="J50" s="37">
        <v>3.89</v>
      </c>
      <c r="K50" s="37">
        <v>3.83</v>
      </c>
      <c r="L50" s="37">
        <v>3.78</v>
      </c>
      <c r="M50" s="37">
        <v>3.73</v>
      </c>
      <c r="N50" s="37">
        <v>3.68</v>
      </c>
      <c r="O50" s="37">
        <v>3.63</v>
      </c>
      <c r="P50" s="37">
        <v>3.58</v>
      </c>
      <c r="Q50" s="37">
        <v>3.54</v>
      </c>
      <c r="R50" s="37">
        <v>3.49</v>
      </c>
      <c r="S50" s="37">
        <v>3.44</v>
      </c>
      <c r="T50" s="37">
        <v>3.4</v>
      </c>
      <c r="U50" s="37">
        <v>3.35</v>
      </c>
      <c r="V50" s="37">
        <v>3.31</v>
      </c>
      <c r="W50" s="37">
        <v>3.27</v>
      </c>
      <c r="X50" s="37">
        <v>3.23</v>
      </c>
      <c r="Y50" s="37">
        <v>3.19</v>
      </c>
      <c r="Z50" s="37">
        <v>3.15</v>
      </c>
      <c r="AA50" s="37">
        <v>3.11</v>
      </c>
      <c r="AB50" s="37">
        <v>3.07</v>
      </c>
    </row>
    <row r="51" spans="2:28">
      <c r="B51" s="35" t="s">
        <v>51</v>
      </c>
      <c r="C51" s="77">
        <v>3.75</v>
      </c>
      <c r="D51" s="77"/>
      <c r="E51" s="77">
        <v>3.69</v>
      </c>
      <c r="F51" s="77"/>
      <c r="G51" s="77">
        <v>3.63</v>
      </c>
      <c r="H51" s="77"/>
      <c r="I51" s="37">
        <v>3.57</v>
      </c>
      <c r="J51" s="37">
        <v>3.52</v>
      </c>
      <c r="K51" s="37">
        <v>3.46</v>
      </c>
      <c r="L51" s="37">
        <v>3.41</v>
      </c>
      <c r="M51" s="37">
        <v>3.36</v>
      </c>
      <c r="N51" s="37">
        <v>3.31</v>
      </c>
      <c r="O51" s="37">
        <v>3.26</v>
      </c>
      <c r="P51" s="37">
        <v>3.21</v>
      </c>
      <c r="Q51" s="37">
        <v>3.16</v>
      </c>
      <c r="R51" s="37">
        <v>3.12</v>
      </c>
      <c r="S51" s="37">
        <v>3.07</v>
      </c>
      <c r="T51" s="37">
        <v>3.03</v>
      </c>
      <c r="U51" s="37">
        <v>2.99</v>
      </c>
      <c r="V51" s="37">
        <v>2.95</v>
      </c>
      <c r="W51" s="37">
        <v>2.91</v>
      </c>
      <c r="X51" s="37">
        <v>2.87</v>
      </c>
      <c r="Y51" s="37">
        <v>2.84</v>
      </c>
      <c r="Z51" s="37">
        <v>2.8</v>
      </c>
      <c r="AA51" s="37">
        <v>2.77</v>
      </c>
      <c r="AB51" s="37">
        <v>2.74</v>
      </c>
    </row>
    <row r="52" spans="2:28">
      <c r="B52" s="35" t="s">
        <v>52</v>
      </c>
      <c r="C52" s="77">
        <v>4.3</v>
      </c>
      <c r="D52" s="77"/>
      <c r="E52" s="77">
        <v>4.25</v>
      </c>
      <c r="F52" s="77"/>
      <c r="G52" s="77">
        <v>4.1900000000000004</v>
      </c>
      <c r="H52" s="77"/>
      <c r="I52" s="37">
        <v>4.1399999999999997</v>
      </c>
      <c r="J52" s="37">
        <v>4.08</v>
      </c>
      <c r="K52" s="37">
        <v>4.03</v>
      </c>
      <c r="L52" s="37">
        <v>3.98</v>
      </c>
      <c r="M52" s="37">
        <v>3.93</v>
      </c>
      <c r="N52" s="37">
        <v>3.87</v>
      </c>
      <c r="O52" s="37">
        <v>3.82</v>
      </c>
      <c r="P52" s="37">
        <v>3.77</v>
      </c>
      <c r="Q52" s="37">
        <v>3.72</v>
      </c>
      <c r="R52" s="37">
        <v>3.67</v>
      </c>
      <c r="S52" s="37">
        <v>3.63</v>
      </c>
      <c r="T52" s="37">
        <v>3.58</v>
      </c>
      <c r="U52" s="37">
        <v>3.53</v>
      </c>
      <c r="V52" s="37">
        <v>3.49</v>
      </c>
      <c r="W52" s="37">
        <v>3.44</v>
      </c>
      <c r="X52" s="37">
        <v>3.4</v>
      </c>
      <c r="Y52" s="37">
        <v>3.35</v>
      </c>
      <c r="Z52" s="37">
        <v>3.31</v>
      </c>
      <c r="AA52" s="37">
        <v>3.27</v>
      </c>
      <c r="AB52" s="37">
        <v>3.23</v>
      </c>
    </row>
    <row r="53" spans="2:28">
      <c r="B53" s="35" t="s">
        <v>53</v>
      </c>
      <c r="C53" s="77">
        <v>4.5999999999999996</v>
      </c>
      <c r="D53" s="77"/>
      <c r="E53" s="77">
        <v>4.54</v>
      </c>
      <c r="F53" s="77"/>
      <c r="G53" s="77">
        <v>4.49</v>
      </c>
      <c r="H53" s="77"/>
      <c r="I53" s="37">
        <v>4.43</v>
      </c>
      <c r="J53" s="37">
        <v>4.38</v>
      </c>
      <c r="K53" s="37">
        <v>4.32</v>
      </c>
      <c r="L53" s="37">
        <v>4.2699999999999996</v>
      </c>
      <c r="M53" s="37">
        <v>4.21</v>
      </c>
      <c r="N53" s="37">
        <v>4.16</v>
      </c>
      <c r="O53" s="37">
        <v>4.0999999999999996</v>
      </c>
      <c r="P53" s="37">
        <v>4.05</v>
      </c>
      <c r="Q53" s="37">
        <v>4</v>
      </c>
      <c r="R53" s="37">
        <v>3.94</v>
      </c>
      <c r="S53" s="37">
        <v>3.89</v>
      </c>
      <c r="T53" s="37">
        <v>3.84</v>
      </c>
      <c r="U53" s="37">
        <v>3.79</v>
      </c>
      <c r="V53" s="37">
        <v>3.74</v>
      </c>
      <c r="W53" s="37">
        <v>3.69</v>
      </c>
      <c r="X53" s="37">
        <v>3.64</v>
      </c>
      <c r="Y53" s="37">
        <v>3.59</v>
      </c>
      <c r="Z53" s="37">
        <v>3.54</v>
      </c>
      <c r="AA53" s="37">
        <v>3.5</v>
      </c>
      <c r="AB53" s="37">
        <v>3.45</v>
      </c>
    </row>
    <row r="54" spans="2:28">
      <c r="B54" s="35" t="s">
        <v>54</v>
      </c>
      <c r="C54" s="77">
        <v>6.3</v>
      </c>
      <c r="D54" s="77"/>
      <c r="E54" s="77">
        <v>6.26</v>
      </c>
      <c r="F54" s="77"/>
      <c r="G54" s="77">
        <v>6.21</v>
      </c>
      <c r="H54" s="77"/>
      <c r="I54" s="37">
        <v>6.17</v>
      </c>
      <c r="J54" s="37">
        <v>6.12</v>
      </c>
      <c r="K54" s="37">
        <v>6.06</v>
      </c>
      <c r="L54" s="37">
        <v>6.01</v>
      </c>
      <c r="M54" s="37">
        <v>5.95</v>
      </c>
      <c r="N54" s="37">
        <v>5.89</v>
      </c>
      <c r="O54" s="37">
        <v>5.82</v>
      </c>
      <c r="P54" s="37">
        <v>5.75</v>
      </c>
      <c r="Q54" s="37">
        <v>5.68</v>
      </c>
      <c r="R54" s="37">
        <v>5.61</v>
      </c>
      <c r="S54" s="37">
        <v>5.53</v>
      </c>
      <c r="T54" s="37">
        <v>5.45</v>
      </c>
      <c r="U54" s="37">
        <v>5.37</v>
      </c>
      <c r="V54" s="37">
        <v>5.28</v>
      </c>
      <c r="W54" s="37">
        <v>5.19</v>
      </c>
      <c r="X54" s="37">
        <v>5.0999999999999996</v>
      </c>
      <c r="Y54" s="37">
        <v>5.01</v>
      </c>
      <c r="Z54" s="37">
        <v>4.92</v>
      </c>
      <c r="AA54" s="37">
        <v>4.82</v>
      </c>
      <c r="AB54" s="37">
        <v>4.7300000000000004</v>
      </c>
    </row>
    <row r="55" spans="2:28" ht="22.8">
      <c r="B55" s="35" t="s">
        <v>55</v>
      </c>
      <c r="C55" s="77">
        <v>2.1</v>
      </c>
      <c r="D55" s="77"/>
      <c r="E55" s="77">
        <v>2.1</v>
      </c>
      <c r="F55" s="77"/>
      <c r="G55" s="77">
        <v>2.1</v>
      </c>
      <c r="H55" s="77"/>
      <c r="I55" s="37">
        <v>2.1</v>
      </c>
      <c r="J55" s="37">
        <v>2.1</v>
      </c>
      <c r="K55" s="37">
        <v>2.1</v>
      </c>
      <c r="L55" s="37">
        <v>2.1</v>
      </c>
      <c r="M55" s="37">
        <v>2.1</v>
      </c>
      <c r="N55" s="37">
        <v>2.1</v>
      </c>
      <c r="O55" s="37">
        <v>2.1</v>
      </c>
      <c r="P55" s="37">
        <v>2.1</v>
      </c>
      <c r="Q55" s="37">
        <v>2.1</v>
      </c>
      <c r="R55" s="37">
        <v>2.1</v>
      </c>
      <c r="S55" s="37">
        <v>2.1</v>
      </c>
      <c r="T55" s="37">
        <v>2.1</v>
      </c>
      <c r="U55" s="37">
        <v>2.1</v>
      </c>
      <c r="V55" s="37">
        <v>2.1</v>
      </c>
      <c r="W55" s="37">
        <v>2.1</v>
      </c>
      <c r="X55" s="37">
        <v>2.1</v>
      </c>
      <c r="Y55" s="37">
        <v>2.1</v>
      </c>
      <c r="Z55" s="37">
        <v>2.1</v>
      </c>
      <c r="AA55" s="37">
        <v>2.1</v>
      </c>
      <c r="AB55" s="37">
        <v>2.1</v>
      </c>
    </row>
    <row r="56" spans="2:28" ht="22.8">
      <c r="B56" s="35" t="s">
        <v>56</v>
      </c>
      <c r="C56" s="77">
        <v>4.5999999999999996</v>
      </c>
      <c r="D56" s="77"/>
      <c r="E56" s="77">
        <v>4.54</v>
      </c>
      <c r="F56" s="77"/>
      <c r="G56" s="77">
        <v>4.49</v>
      </c>
      <c r="H56" s="77"/>
      <c r="I56" s="37">
        <v>4.43</v>
      </c>
      <c r="J56" s="37">
        <v>4.38</v>
      </c>
      <c r="K56" s="37">
        <v>4.32</v>
      </c>
      <c r="L56" s="37">
        <v>4.2699999999999996</v>
      </c>
      <c r="M56" s="37">
        <v>4.21</v>
      </c>
      <c r="N56" s="37">
        <v>4.16</v>
      </c>
      <c r="O56" s="37">
        <v>4.0999999999999996</v>
      </c>
      <c r="P56" s="37">
        <v>4.05</v>
      </c>
      <c r="Q56" s="37">
        <v>4</v>
      </c>
      <c r="R56" s="37">
        <v>3.94</v>
      </c>
      <c r="S56" s="37">
        <v>3.89</v>
      </c>
      <c r="T56" s="37">
        <v>3.84</v>
      </c>
      <c r="U56" s="37">
        <v>3.79</v>
      </c>
      <c r="V56" s="37">
        <v>3.74</v>
      </c>
      <c r="W56" s="37">
        <v>3.69</v>
      </c>
      <c r="X56" s="37">
        <v>3.64</v>
      </c>
      <c r="Y56" s="37">
        <v>3.59</v>
      </c>
      <c r="Z56" s="37">
        <v>3.54</v>
      </c>
      <c r="AA56" s="37">
        <v>3.5</v>
      </c>
      <c r="AB56" s="37">
        <v>3.45</v>
      </c>
    </row>
    <row r="57" spans="2:28">
      <c r="B57" s="35" t="s">
        <v>57</v>
      </c>
      <c r="C57" s="77">
        <v>3.5</v>
      </c>
      <c r="D57" s="77"/>
      <c r="E57" s="77">
        <v>3.45</v>
      </c>
      <c r="F57" s="77"/>
      <c r="G57" s="77">
        <v>3.39</v>
      </c>
      <c r="H57" s="77"/>
      <c r="I57" s="37">
        <v>3.34</v>
      </c>
      <c r="J57" s="37">
        <v>3.29</v>
      </c>
      <c r="K57" s="37">
        <v>3.25</v>
      </c>
      <c r="L57" s="37">
        <v>3.2</v>
      </c>
      <c r="M57" s="37">
        <v>3.15</v>
      </c>
      <c r="N57" s="37">
        <v>3.11</v>
      </c>
      <c r="O57" s="37">
        <v>3.07</v>
      </c>
      <c r="P57" s="37">
        <v>3.03</v>
      </c>
      <c r="Q57" s="37">
        <v>2.99</v>
      </c>
      <c r="R57" s="37">
        <v>2.95</v>
      </c>
      <c r="S57" s="37">
        <v>2.91</v>
      </c>
      <c r="T57" s="37">
        <v>2.87</v>
      </c>
      <c r="U57" s="37">
        <v>2.84</v>
      </c>
      <c r="V57" s="37">
        <v>2.81</v>
      </c>
      <c r="W57" s="37">
        <v>2.77</v>
      </c>
      <c r="X57" s="37">
        <v>2.74</v>
      </c>
      <c r="Y57" s="37">
        <v>2.71</v>
      </c>
      <c r="Z57" s="37">
        <v>2.68</v>
      </c>
      <c r="AA57" s="37">
        <v>2.66</v>
      </c>
      <c r="AB57" s="37">
        <v>2.63</v>
      </c>
    </row>
    <row r="58" spans="2:28">
      <c r="B58" s="35" t="s">
        <v>58</v>
      </c>
      <c r="C58" s="77">
        <v>4.9000000000000004</v>
      </c>
      <c r="D58" s="77"/>
      <c r="E58" s="77">
        <v>4.84</v>
      </c>
      <c r="F58" s="77"/>
      <c r="G58" s="77">
        <v>4.79</v>
      </c>
      <c r="H58" s="77"/>
      <c r="I58" s="37">
        <v>4.7300000000000004</v>
      </c>
      <c r="J58" s="37">
        <v>4.67</v>
      </c>
      <c r="K58" s="37">
        <v>4.62</v>
      </c>
      <c r="L58" s="37">
        <v>4.5599999999999996</v>
      </c>
      <c r="M58" s="37">
        <v>4.5</v>
      </c>
      <c r="N58" s="37">
        <v>4.45</v>
      </c>
      <c r="O58" s="37">
        <v>4.3899999999999997</v>
      </c>
      <c r="P58" s="37">
        <v>4.33</v>
      </c>
      <c r="Q58" s="37">
        <v>4.2699999999999996</v>
      </c>
      <c r="R58" s="37">
        <v>4.22</v>
      </c>
      <c r="S58" s="37">
        <v>4.16</v>
      </c>
      <c r="T58" s="37">
        <v>4.0999999999999996</v>
      </c>
      <c r="U58" s="37">
        <v>4.05</v>
      </c>
      <c r="V58" s="37">
        <v>3.99</v>
      </c>
      <c r="W58" s="37">
        <v>3.94</v>
      </c>
      <c r="X58" s="37">
        <v>3.88</v>
      </c>
      <c r="Y58" s="37">
        <v>3.83</v>
      </c>
      <c r="Z58" s="37">
        <v>3.78</v>
      </c>
      <c r="AA58" s="37">
        <v>3.73</v>
      </c>
      <c r="AB58" s="37">
        <v>3.68</v>
      </c>
    </row>
    <row r="59" spans="2:28" ht="22.8">
      <c r="B59" s="35" t="s">
        <v>59</v>
      </c>
      <c r="C59" s="77">
        <v>6.3</v>
      </c>
      <c r="D59" s="77"/>
      <c r="E59" s="77">
        <v>6.26</v>
      </c>
      <c r="F59" s="77"/>
      <c r="G59" s="77">
        <v>6.21</v>
      </c>
      <c r="H59" s="77"/>
      <c r="I59" s="37">
        <v>6.17</v>
      </c>
      <c r="J59" s="37">
        <v>6.12</v>
      </c>
      <c r="K59" s="37">
        <v>6.06</v>
      </c>
      <c r="L59" s="37">
        <v>6.01</v>
      </c>
      <c r="M59" s="37">
        <v>5.95</v>
      </c>
      <c r="N59" s="37">
        <v>5.89</v>
      </c>
      <c r="O59" s="37">
        <v>5.82</v>
      </c>
      <c r="P59" s="37">
        <v>5.75</v>
      </c>
      <c r="Q59" s="37">
        <v>5.68</v>
      </c>
      <c r="R59" s="37">
        <v>5.61</v>
      </c>
      <c r="S59" s="37">
        <v>5.53</v>
      </c>
      <c r="T59" s="37">
        <v>5.45</v>
      </c>
      <c r="U59" s="37">
        <v>5.37</v>
      </c>
      <c r="V59" s="37">
        <v>5.28</v>
      </c>
      <c r="W59" s="37">
        <v>5.19</v>
      </c>
      <c r="X59" s="37">
        <v>5.0999999999999996</v>
      </c>
      <c r="Y59" s="37">
        <v>5.01</v>
      </c>
      <c r="Z59" s="37">
        <v>4.92</v>
      </c>
      <c r="AA59" s="37">
        <v>4.82</v>
      </c>
      <c r="AB59" s="37">
        <v>4.7300000000000004</v>
      </c>
    </row>
    <row r="60" spans="2:28">
      <c r="B60" s="35" t="s">
        <v>60</v>
      </c>
      <c r="C60" s="77">
        <v>4.5999999999999996</v>
      </c>
      <c r="D60" s="77"/>
      <c r="E60" s="77">
        <v>4.54</v>
      </c>
      <c r="F60" s="77"/>
      <c r="G60" s="77">
        <v>4.49</v>
      </c>
      <c r="H60" s="77"/>
      <c r="I60" s="37">
        <v>4.43</v>
      </c>
      <c r="J60" s="37">
        <v>4.38</v>
      </c>
      <c r="K60" s="37">
        <v>4.32</v>
      </c>
      <c r="L60" s="37">
        <v>4.2699999999999996</v>
      </c>
      <c r="M60" s="37">
        <v>4.21</v>
      </c>
      <c r="N60" s="37">
        <v>4.16</v>
      </c>
      <c r="O60" s="37">
        <v>4.0999999999999996</v>
      </c>
      <c r="P60" s="37">
        <v>4.05</v>
      </c>
      <c r="Q60" s="37">
        <v>4</v>
      </c>
      <c r="R60" s="37">
        <v>3.94</v>
      </c>
      <c r="S60" s="37">
        <v>3.89</v>
      </c>
      <c r="T60" s="37">
        <v>3.84</v>
      </c>
      <c r="U60" s="37">
        <v>3.79</v>
      </c>
      <c r="V60" s="37">
        <v>3.74</v>
      </c>
      <c r="W60" s="37">
        <v>3.69</v>
      </c>
      <c r="X60" s="37">
        <v>3.64</v>
      </c>
      <c r="Y60" s="37">
        <v>3.59</v>
      </c>
      <c r="Z60" s="37">
        <v>3.54</v>
      </c>
      <c r="AA60" s="37">
        <v>3.5</v>
      </c>
      <c r="AB60" s="37">
        <v>3.45</v>
      </c>
    </row>
    <row r="61" spans="2:28" ht="22.8">
      <c r="B61" s="35" t="s">
        <v>61</v>
      </c>
      <c r="C61" s="77">
        <v>4.0999999999999996</v>
      </c>
      <c r="D61" s="77"/>
      <c r="E61" s="77">
        <v>4.05</v>
      </c>
      <c r="F61" s="77"/>
      <c r="G61" s="77">
        <v>3.99</v>
      </c>
      <c r="H61" s="77"/>
      <c r="I61" s="37">
        <v>3.94</v>
      </c>
      <c r="J61" s="37">
        <v>3.89</v>
      </c>
      <c r="K61" s="37">
        <v>3.83</v>
      </c>
      <c r="L61" s="37">
        <v>3.78</v>
      </c>
      <c r="M61" s="37">
        <v>3.73</v>
      </c>
      <c r="N61" s="37">
        <v>3.68</v>
      </c>
      <c r="O61" s="37">
        <v>3.63</v>
      </c>
      <c r="P61" s="37">
        <v>3.58</v>
      </c>
      <c r="Q61" s="37">
        <v>3.54</v>
      </c>
      <c r="R61" s="37">
        <v>3.49</v>
      </c>
      <c r="S61" s="37">
        <v>3.44</v>
      </c>
      <c r="T61" s="37">
        <v>3.4</v>
      </c>
      <c r="U61" s="37">
        <v>3.35</v>
      </c>
      <c r="V61" s="37">
        <v>3.31</v>
      </c>
      <c r="W61" s="37">
        <v>3.27</v>
      </c>
      <c r="X61" s="37">
        <v>3.23</v>
      </c>
      <c r="Y61" s="37">
        <v>3.19</v>
      </c>
      <c r="Z61" s="37">
        <v>3.15</v>
      </c>
      <c r="AA61" s="37">
        <v>3.11</v>
      </c>
      <c r="AB61" s="37">
        <v>3.07</v>
      </c>
    </row>
    <row r="62" spans="2:28" ht="22.8">
      <c r="B62" s="35" t="s">
        <v>62</v>
      </c>
      <c r="C62" s="77">
        <v>4.5999999999999996</v>
      </c>
      <c r="D62" s="77"/>
      <c r="E62" s="77">
        <v>4.54</v>
      </c>
      <c r="F62" s="77"/>
      <c r="G62" s="77">
        <v>4.49</v>
      </c>
      <c r="H62" s="77"/>
      <c r="I62" s="37">
        <v>4.43</v>
      </c>
      <c r="J62" s="37">
        <v>4.38</v>
      </c>
      <c r="K62" s="37">
        <v>4.32</v>
      </c>
      <c r="L62" s="37">
        <v>4.2699999999999996</v>
      </c>
      <c r="M62" s="37">
        <v>4.21</v>
      </c>
      <c r="N62" s="37">
        <v>4.16</v>
      </c>
      <c r="O62" s="37">
        <v>4.0999999999999996</v>
      </c>
      <c r="P62" s="37">
        <v>4.05</v>
      </c>
      <c r="Q62" s="37">
        <v>4</v>
      </c>
      <c r="R62" s="37">
        <v>3.94</v>
      </c>
      <c r="S62" s="37">
        <v>3.89</v>
      </c>
      <c r="T62" s="37">
        <v>3.84</v>
      </c>
      <c r="U62" s="37">
        <v>3.79</v>
      </c>
      <c r="V62" s="37">
        <v>3.74</v>
      </c>
      <c r="W62" s="37">
        <v>3.69</v>
      </c>
      <c r="X62" s="37">
        <v>3.64</v>
      </c>
      <c r="Y62" s="37">
        <v>3.59</v>
      </c>
      <c r="Z62" s="37">
        <v>3.54</v>
      </c>
      <c r="AA62" s="37">
        <v>3.5</v>
      </c>
      <c r="AB62" s="37">
        <v>3.45</v>
      </c>
    </row>
    <row r="63" spans="2:28" ht="22.8">
      <c r="B63" s="35" t="s">
        <v>63</v>
      </c>
      <c r="C63" s="77">
        <v>3.5</v>
      </c>
      <c r="D63" s="77"/>
      <c r="E63" s="77">
        <v>3.45</v>
      </c>
      <c r="F63" s="77"/>
      <c r="G63" s="77">
        <v>3.39</v>
      </c>
      <c r="H63" s="77"/>
      <c r="I63" s="37">
        <v>3.34</v>
      </c>
      <c r="J63" s="37">
        <v>3.29</v>
      </c>
      <c r="K63" s="37">
        <v>3.24</v>
      </c>
      <c r="L63" s="37">
        <v>3.2</v>
      </c>
      <c r="M63" s="37">
        <v>3.15</v>
      </c>
      <c r="N63" s="37">
        <v>3.11</v>
      </c>
      <c r="O63" s="37">
        <v>3.06</v>
      </c>
      <c r="P63" s="37">
        <v>3.02</v>
      </c>
      <c r="Q63" s="37">
        <v>2.98</v>
      </c>
      <c r="R63" s="37">
        <v>2.94</v>
      </c>
      <c r="S63" s="37">
        <v>2.91</v>
      </c>
      <c r="T63" s="37">
        <v>2.87</v>
      </c>
      <c r="U63" s="37">
        <v>2.83</v>
      </c>
      <c r="V63" s="37">
        <v>2.8</v>
      </c>
      <c r="W63" s="37">
        <v>2.77</v>
      </c>
      <c r="X63" s="37">
        <v>2.74</v>
      </c>
      <c r="Y63" s="37">
        <v>2.71</v>
      </c>
      <c r="Z63" s="37">
        <v>2.68</v>
      </c>
      <c r="AA63" s="37">
        <v>2.65</v>
      </c>
      <c r="AB63" s="37">
        <v>2.62</v>
      </c>
    </row>
    <row r="64" spans="2:28">
      <c r="B64" s="35" t="s">
        <v>64</v>
      </c>
      <c r="C64" s="77">
        <v>4.0999999999999996</v>
      </c>
      <c r="D64" s="77"/>
      <c r="E64" s="77">
        <v>4.05</v>
      </c>
      <c r="F64" s="77"/>
      <c r="G64" s="77">
        <v>3.99</v>
      </c>
      <c r="H64" s="77"/>
      <c r="I64" s="37">
        <v>3.94</v>
      </c>
      <c r="J64" s="37">
        <v>3.89</v>
      </c>
      <c r="K64" s="37">
        <v>3.83</v>
      </c>
      <c r="L64" s="37">
        <v>3.78</v>
      </c>
      <c r="M64" s="37">
        <v>3.73</v>
      </c>
      <c r="N64" s="37">
        <v>3.68</v>
      </c>
      <c r="O64" s="37">
        <v>3.63</v>
      </c>
      <c r="P64" s="37">
        <v>3.58</v>
      </c>
      <c r="Q64" s="37">
        <v>3.54</v>
      </c>
      <c r="R64" s="37">
        <v>3.49</v>
      </c>
      <c r="S64" s="37">
        <v>3.44</v>
      </c>
      <c r="T64" s="37">
        <v>3.4</v>
      </c>
      <c r="U64" s="37">
        <v>3.35</v>
      </c>
      <c r="V64" s="37">
        <v>3.31</v>
      </c>
      <c r="W64" s="37">
        <v>3.27</v>
      </c>
      <c r="X64" s="37">
        <v>3.23</v>
      </c>
      <c r="Y64" s="37">
        <v>3.19</v>
      </c>
      <c r="Z64" s="37">
        <v>3.15</v>
      </c>
      <c r="AA64" s="37">
        <v>3.11</v>
      </c>
      <c r="AB64" s="37">
        <v>3.07</v>
      </c>
    </row>
    <row r="65" spans="2:28" ht="22.8">
      <c r="B65" s="35" t="s">
        <v>65</v>
      </c>
      <c r="C65" s="77">
        <v>4.5999999999999996</v>
      </c>
      <c r="D65" s="77"/>
      <c r="E65" s="77">
        <v>4.54</v>
      </c>
      <c r="F65" s="77"/>
      <c r="G65" s="77">
        <v>4.49</v>
      </c>
      <c r="H65" s="77"/>
      <c r="I65" s="37">
        <v>4.43</v>
      </c>
      <c r="J65" s="37">
        <v>4.38</v>
      </c>
      <c r="K65" s="37">
        <v>4.32</v>
      </c>
      <c r="L65" s="37">
        <v>4.2699999999999996</v>
      </c>
      <c r="M65" s="37">
        <v>4.21</v>
      </c>
      <c r="N65" s="37">
        <v>4.16</v>
      </c>
      <c r="O65" s="37">
        <v>4.0999999999999996</v>
      </c>
      <c r="P65" s="37">
        <v>4.05</v>
      </c>
      <c r="Q65" s="37">
        <v>4</v>
      </c>
      <c r="R65" s="37">
        <v>3.94</v>
      </c>
      <c r="S65" s="37">
        <v>3.89</v>
      </c>
      <c r="T65" s="37">
        <v>3.84</v>
      </c>
      <c r="U65" s="37">
        <v>3.79</v>
      </c>
      <c r="V65" s="37">
        <v>3.74</v>
      </c>
      <c r="W65" s="37">
        <v>3.69</v>
      </c>
      <c r="X65" s="37">
        <v>3.64</v>
      </c>
      <c r="Y65" s="37">
        <v>3.59</v>
      </c>
      <c r="Z65" s="37">
        <v>3.54</v>
      </c>
      <c r="AA65" s="37">
        <v>3.5</v>
      </c>
      <c r="AB65" s="37">
        <v>3.45</v>
      </c>
    </row>
    <row r="66" spans="2:28">
      <c r="B66" s="35" t="s">
        <v>66</v>
      </c>
      <c r="C66" s="77">
        <v>4.0999999999999996</v>
      </c>
      <c r="D66" s="77"/>
      <c r="E66" s="77">
        <v>4.05</v>
      </c>
      <c r="F66" s="77"/>
      <c r="G66" s="77">
        <v>3.99</v>
      </c>
      <c r="H66" s="77"/>
      <c r="I66" s="37">
        <v>3.94</v>
      </c>
      <c r="J66" s="37">
        <v>3.89</v>
      </c>
      <c r="K66" s="37">
        <v>3.83</v>
      </c>
      <c r="L66" s="37">
        <v>3.78</v>
      </c>
      <c r="M66" s="37">
        <v>3.73</v>
      </c>
      <c r="N66" s="37">
        <v>3.68</v>
      </c>
      <c r="O66" s="37">
        <v>3.63</v>
      </c>
      <c r="P66" s="37">
        <v>3.58</v>
      </c>
      <c r="Q66" s="37">
        <v>3.54</v>
      </c>
      <c r="R66" s="37">
        <v>3.49</v>
      </c>
      <c r="S66" s="37">
        <v>3.44</v>
      </c>
      <c r="T66" s="37">
        <v>3.4</v>
      </c>
      <c r="U66" s="37">
        <v>3.35</v>
      </c>
      <c r="V66" s="37">
        <v>3.31</v>
      </c>
      <c r="W66" s="37">
        <v>3.27</v>
      </c>
      <c r="X66" s="37">
        <v>3.23</v>
      </c>
      <c r="Y66" s="37">
        <v>3.19</v>
      </c>
      <c r="Z66" s="37">
        <v>3.15</v>
      </c>
      <c r="AA66" s="37">
        <v>3.11</v>
      </c>
      <c r="AB66" s="37">
        <v>3.07</v>
      </c>
    </row>
    <row r="67" spans="2:28">
      <c r="B67" s="35" t="s">
        <v>67</v>
      </c>
      <c r="C67" s="77">
        <v>4.5</v>
      </c>
      <c r="D67" s="77"/>
      <c r="E67" s="77">
        <v>4.4400000000000004</v>
      </c>
      <c r="F67" s="77"/>
      <c r="G67" s="77">
        <v>4.3899999999999997</v>
      </c>
      <c r="H67" s="77"/>
      <c r="I67" s="37">
        <v>4.33</v>
      </c>
      <c r="J67" s="37">
        <v>4.28</v>
      </c>
      <c r="K67" s="37">
        <v>4.22</v>
      </c>
      <c r="L67" s="37">
        <v>4.17</v>
      </c>
      <c r="M67" s="37">
        <v>4.12</v>
      </c>
      <c r="N67" s="37">
        <v>4.0599999999999996</v>
      </c>
      <c r="O67" s="37">
        <v>4.01</v>
      </c>
      <c r="P67" s="37">
        <v>3.96</v>
      </c>
      <c r="Q67" s="37">
        <v>3.9</v>
      </c>
      <c r="R67" s="37">
        <v>3.85</v>
      </c>
      <c r="S67" s="37">
        <v>3.8</v>
      </c>
      <c r="T67" s="37">
        <v>3.75</v>
      </c>
      <c r="U67" s="37">
        <v>3.7</v>
      </c>
      <c r="V67" s="37">
        <v>3.65</v>
      </c>
      <c r="W67" s="37">
        <v>3.6</v>
      </c>
      <c r="X67" s="37">
        <v>3.56</v>
      </c>
      <c r="Y67" s="37">
        <v>3.51</v>
      </c>
      <c r="Z67" s="37">
        <v>3.46</v>
      </c>
      <c r="AA67" s="37">
        <v>3.42</v>
      </c>
      <c r="AB67" s="37">
        <v>3.37</v>
      </c>
    </row>
  </sheetData>
  <mergeCells count="91">
    <mergeCell ref="E3:H3"/>
    <mergeCell ref="E4:H4"/>
    <mergeCell ref="E5:H5"/>
    <mergeCell ref="B3:C3"/>
    <mergeCell ref="B4:C4"/>
    <mergeCell ref="B5:C5"/>
    <mergeCell ref="F7:H7"/>
    <mergeCell ref="B38:Q38"/>
    <mergeCell ref="B39:Q39"/>
    <mergeCell ref="D40:E40"/>
    <mergeCell ref="F40:G40"/>
    <mergeCell ref="H40:I40"/>
    <mergeCell ref="C41:AB41"/>
    <mergeCell ref="C42:D42"/>
    <mergeCell ref="E42:F42"/>
    <mergeCell ref="G42:H42"/>
    <mergeCell ref="C43:D43"/>
    <mergeCell ref="E43:F43"/>
    <mergeCell ref="G43:H43"/>
    <mergeCell ref="C44:D44"/>
    <mergeCell ref="E44:F44"/>
    <mergeCell ref="G44:H44"/>
    <mergeCell ref="C45:D45"/>
    <mergeCell ref="E45:F45"/>
    <mergeCell ref="G45:H45"/>
    <mergeCell ref="C46:D46"/>
    <mergeCell ref="E46:F46"/>
    <mergeCell ref="G46:H46"/>
    <mergeCell ref="C47:D47"/>
    <mergeCell ref="E47:F47"/>
    <mergeCell ref="G47:H47"/>
    <mergeCell ref="C48:D48"/>
    <mergeCell ref="E48:F48"/>
    <mergeCell ref="G48:H48"/>
    <mergeCell ref="C49:D49"/>
    <mergeCell ref="E49:F49"/>
    <mergeCell ref="G49:H49"/>
    <mergeCell ref="C50:D50"/>
    <mergeCell ref="E50:F50"/>
    <mergeCell ref="G50:H50"/>
    <mergeCell ref="C51:D51"/>
    <mergeCell ref="E51:F51"/>
    <mergeCell ref="G51:H51"/>
    <mergeCell ref="C52:D52"/>
    <mergeCell ref="E52:F52"/>
    <mergeCell ref="G52:H52"/>
    <mergeCell ref="C53:D53"/>
    <mergeCell ref="E53:F53"/>
    <mergeCell ref="G53:H53"/>
    <mergeCell ref="C54:D54"/>
    <mergeCell ref="E54:F54"/>
    <mergeCell ref="G54:H54"/>
    <mergeCell ref="C55:D55"/>
    <mergeCell ref="E55:F55"/>
    <mergeCell ref="G55:H55"/>
    <mergeCell ref="C56:D56"/>
    <mergeCell ref="E56:F56"/>
    <mergeCell ref="G56:H56"/>
    <mergeCell ref="C57:D57"/>
    <mergeCell ref="E57:F57"/>
    <mergeCell ref="G57:H57"/>
    <mergeCell ref="C58:D58"/>
    <mergeCell ref="E58:F58"/>
    <mergeCell ref="G58:H58"/>
    <mergeCell ref="C59:D59"/>
    <mergeCell ref="E59:F59"/>
    <mergeCell ref="G59:H59"/>
    <mergeCell ref="C60:D60"/>
    <mergeCell ref="E60:F60"/>
    <mergeCell ref="G60:H60"/>
    <mergeCell ref="C61:D61"/>
    <mergeCell ref="E61:F61"/>
    <mergeCell ref="G61:H61"/>
    <mergeCell ref="C62:D62"/>
    <mergeCell ref="E62:F62"/>
    <mergeCell ref="G62:H62"/>
    <mergeCell ref="C63:D63"/>
    <mergeCell ref="E63:F63"/>
    <mergeCell ref="G63:H63"/>
    <mergeCell ref="C64:D64"/>
    <mergeCell ref="E64:F64"/>
    <mergeCell ref="G64:H64"/>
    <mergeCell ref="C65:D65"/>
    <mergeCell ref="E65:F65"/>
    <mergeCell ref="G65:H65"/>
    <mergeCell ref="C66:D66"/>
    <mergeCell ref="E66:F66"/>
    <mergeCell ref="G66:H66"/>
    <mergeCell ref="C67:D67"/>
    <mergeCell ref="E67:F67"/>
    <mergeCell ref="G67:H6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31523-440F-4639-B6DC-998783C39639}">
  <dimension ref="A18:AF54"/>
  <sheetViews>
    <sheetView topLeftCell="A34" zoomScale="70" zoomScaleNormal="70" workbookViewId="0">
      <selection activeCell="F54" sqref="F54"/>
    </sheetView>
  </sheetViews>
  <sheetFormatPr defaultRowHeight="14.4"/>
  <cols>
    <col min="1" max="1" width="16.33203125" bestFit="1" customWidth="1"/>
    <col min="2" max="2" width="16.109375" customWidth="1"/>
    <col min="3" max="3" width="17.44140625" customWidth="1"/>
    <col min="4" max="4" width="17.88671875" customWidth="1"/>
    <col min="5" max="5" width="18.6640625" customWidth="1"/>
    <col min="6" max="6" width="22.33203125" customWidth="1"/>
    <col min="7" max="7" width="26.33203125" customWidth="1"/>
    <col min="8" max="8" width="25.88671875" customWidth="1"/>
    <col min="9" max="9" width="26" customWidth="1"/>
    <col min="10" max="10" width="25.88671875" customWidth="1"/>
    <col min="11" max="11" width="21.5546875" customWidth="1"/>
    <col min="12" max="12" width="12.6640625" customWidth="1"/>
  </cols>
  <sheetData>
    <row r="18" spans="1:32">
      <c r="A18" s="41" t="s">
        <v>68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</row>
    <row r="19" spans="1:32">
      <c r="A19" s="42"/>
      <c r="B19" s="55" t="s">
        <v>86</v>
      </c>
      <c r="C19" s="55" t="s">
        <v>87</v>
      </c>
      <c r="D19" s="55" t="s">
        <v>88</v>
      </c>
      <c r="E19" s="56" t="s">
        <v>89</v>
      </c>
      <c r="F19" s="56" t="s">
        <v>90</v>
      </c>
      <c r="G19" s="56" t="s">
        <v>91</v>
      </c>
      <c r="H19" s="56" t="s">
        <v>93</v>
      </c>
      <c r="I19" s="57" t="s">
        <v>92</v>
      </c>
      <c r="J19" s="57" t="s">
        <v>94</v>
      </c>
      <c r="K19" s="57">
        <v>154</v>
      </c>
      <c r="L19" s="57">
        <v>65</v>
      </c>
      <c r="M19" s="58" t="s">
        <v>69</v>
      </c>
      <c r="N19" s="58" t="s">
        <v>70</v>
      </c>
      <c r="O19" s="58" t="s">
        <v>71</v>
      </c>
      <c r="P19" s="57" t="s">
        <v>72</v>
      </c>
      <c r="Q19" s="57" t="s">
        <v>73</v>
      </c>
      <c r="R19" s="57" t="s">
        <v>74</v>
      </c>
      <c r="S19" s="57" t="s">
        <v>75</v>
      </c>
      <c r="T19" s="57" t="s">
        <v>76</v>
      </c>
      <c r="U19" s="57" t="s">
        <v>77</v>
      </c>
      <c r="V19" s="59" t="s">
        <v>78</v>
      </c>
      <c r="W19" s="57" t="s">
        <v>79</v>
      </c>
      <c r="X19" s="57" t="s">
        <v>80</v>
      </c>
      <c r="Y19" s="57" t="s">
        <v>81</v>
      </c>
      <c r="Z19" s="57" t="s">
        <v>82</v>
      </c>
      <c r="AA19" s="57" t="s">
        <v>83</v>
      </c>
      <c r="AB19" s="57" t="s">
        <v>28</v>
      </c>
      <c r="AC19" s="57" t="s">
        <v>29</v>
      </c>
      <c r="AD19" s="43" t="s">
        <v>34</v>
      </c>
      <c r="AE19" s="43" t="s">
        <v>84</v>
      </c>
      <c r="AF19" s="43" t="s">
        <v>85</v>
      </c>
    </row>
    <row r="20" spans="1:32">
      <c r="A20" s="60">
        <v>1998</v>
      </c>
      <c r="B20" s="62">
        <f>SUM(M20:O20)</f>
        <v>59372</v>
      </c>
      <c r="C20" s="62">
        <f>SUM(P20:Y20)</f>
        <v>76480</v>
      </c>
      <c r="D20" s="62">
        <f>SUM(Z20:AB20)</f>
        <v>2457</v>
      </c>
      <c r="E20" s="64">
        <f>C20/(B20+D20)*100</f>
        <v>123.69600025877826</v>
      </c>
      <c r="F20" s="54">
        <f>(B20+D20)/C20*100</f>
        <v>80.843357740585773</v>
      </c>
      <c r="G20" s="54">
        <f>B20/C20*100</f>
        <v>77.63075313807532</v>
      </c>
      <c r="H20" s="54">
        <f>D20/C20*100</f>
        <v>3.2126046025104604</v>
      </c>
      <c r="I20" s="65">
        <f>G20/(G20+H20)*100</f>
        <v>96.026136602565131</v>
      </c>
      <c r="J20" s="65">
        <f>100-I20</f>
        <v>3.9738633974348687</v>
      </c>
      <c r="K20" s="49">
        <v>154</v>
      </c>
      <c r="L20" s="49">
        <v>65</v>
      </c>
      <c r="M20" s="45">
        <v>24032</v>
      </c>
      <c r="N20" s="45">
        <v>19162</v>
      </c>
      <c r="O20" s="45">
        <v>16178</v>
      </c>
      <c r="P20" s="45">
        <v>13095</v>
      </c>
      <c r="Q20" s="45">
        <v>9612</v>
      </c>
      <c r="R20" s="45">
        <v>13517</v>
      </c>
      <c r="S20" s="45">
        <v>12412</v>
      </c>
      <c r="T20" s="45">
        <v>10277</v>
      </c>
      <c r="U20" s="45">
        <v>6481</v>
      </c>
      <c r="V20" s="45">
        <v>4270</v>
      </c>
      <c r="W20" s="45">
        <v>3026</v>
      </c>
      <c r="X20" s="45">
        <v>2270</v>
      </c>
      <c r="Y20" s="45">
        <v>1520</v>
      </c>
      <c r="Z20" s="45">
        <v>1132</v>
      </c>
      <c r="AA20" s="50">
        <v>671</v>
      </c>
      <c r="AB20" s="50">
        <v>654</v>
      </c>
      <c r="AD20" s="48"/>
      <c r="AE20" s="44"/>
      <c r="AF20" s="44"/>
    </row>
    <row r="21" spans="1:32">
      <c r="A21" s="60">
        <v>1999</v>
      </c>
      <c r="B21" s="62">
        <f t="shared" ref="B21:B52" si="0">SUM(M21:O21)</f>
        <v>62327</v>
      </c>
      <c r="C21" s="62">
        <f t="shared" ref="C21:C52" si="1">SUM(P21:Y21)</f>
        <v>81217</v>
      </c>
      <c r="D21" s="62">
        <f t="shared" ref="D21:D52" si="2">SUM(Z21:AB21)</f>
        <v>2744</v>
      </c>
      <c r="E21" s="64">
        <f t="shared" ref="E21:E52" si="3">C21/(B21+D21)*100</f>
        <v>124.81289668208572</v>
      </c>
      <c r="F21" s="54">
        <f t="shared" ref="F21:F52" si="4">(B21+D21)/C21*100</f>
        <v>80.119925631333345</v>
      </c>
      <c r="G21" s="54">
        <f t="shared" ref="G21:G52" si="5">B21/C21*100</f>
        <v>76.741322629498754</v>
      </c>
      <c r="H21" s="54">
        <f t="shared" ref="H21:H52" si="6">D21/C21*100</f>
        <v>3.3786030018345912</v>
      </c>
      <c r="I21" s="65">
        <f t="shared" ref="I21:I52" si="7">G21/(G21+H21)*100</f>
        <v>95.783067726022338</v>
      </c>
      <c r="J21" s="54">
        <f t="shared" ref="J21:J52" si="8">100-I21</f>
        <v>4.2169322739776618</v>
      </c>
      <c r="K21" s="49">
        <v>154</v>
      </c>
      <c r="L21" s="49">
        <v>65</v>
      </c>
      <c r="M21" s="45">
        <v>24161</v>
      </c>
      <c r="N21" s="45">
        <v>20816</v>
      </c>
      <c r="O21" s="45">
        <v>17350</v>
      </c>
      <c r="P21" s="45">
        <v>14332</v>
      </c>
      <c r="Q21" s="45">
        <v>10031</v>
      </c>
      <c r="R21" s="45">
        <v>13160</v>
      </c>
      <c r="S21" s="45">
        <v>13080</v>
      </c>
      <c r="T21" s="45">
        <v>11066</v>
      </c>
      <c r="U21" s="45">
        <v>7332</v>
      </c>
      <c r="V21" s="45">
        <v>4732</v>
      </c>
      <c r="W21" s="45">
        <v>3310</v>
      </c>
      <c r="X21" s="45">
        <v>2483</v>
      </c>
      <c r="Y21" s="45">
        <v>1691</v>
      </c>
      <c r="Z21" s="45">
        <v>1231</v>
      </c>
      <c r="AA21" s="50">
        <v>770</v>
      </c>
      <c r="AB21" s="50">
        <v>743</v>
      </c>
      <c r="AD21" s="48"/>
      <c r="AE21" s="44"/>
      <c r="AF21" s="44"/>
    </row>
    <row r="22" spans="1:32">
      <c r="A22" s="60">
        <v>2000</v>
      </c>
      <c r="B22" s="62">
        <f t="shared" si="0"/>
        <v>64821</v>
      </c>
      <c r="C22" s="62">
        <f t="shared" si="1"/>
        <v>85715</v>
      </c>
      <c r="D22" s="62">
        <f>SUM(Z22:AB22)</f>
        <v>3008</v>
      </c>
      <c r="E22" s="64">
        <f t="shared" si="3"/>
        <v>126.36925208981408</v>
      </c>
      <c r="F22" s="54">
        <f t="shared" si="4"/>
        <v>79.133173890217577</v>
      </c>
      <c r="G22" s="54">
        <f t="shared" si="5"/>
        <v>75.623869801084993</v>
      </c>
      <c r="H22" s="54">
        <f t="shared" si="6"/>
        <v>3.5093040891325908</v>
      </c>
      <c r="I22" s="65">
        <f t="shared" si="7"/>
        <v>95.56531866900589</v>
      </c>
      <c r="J22" s="54">
        <f t="shared" si="8"/>
        <v>4.4346813309941098</v>
      </c>
      <c r="K22" s="49">
        <v>154</v>
      </c>
      <c r="L22" s="49">
        <v>65</v>
      </c>
      <c r="M22" s="45">
        <v>23877</v>
      </c>
      <c r="N22" s="45">
        <v>22578</v>
      </c>
      <c r="O22" s="45">
        <v>18366</v>
      </c>
      <c r="P22" s="45">
        <v>15408</v>
      </c>
      <c r="Q22" s="45">
        <v>10893</v>
      </c>
      <c r="R22" s="45">
        <v>12414</v>
      </c>
      <c r="S22" s="45">
        <v>13729</v>
      </c>
      <c r="T22" s="45">
        <v>11693</v>
      </c>
      <c r="U22" s="45">
        <v>8242</v>
      </c>
      <c r="V22" s="45">
        <v>5194</v>
      </c>
      <c r="W22" s="45">
        <v>3601</v>
      </c>
      <c r="X22" s="45">
        <v>2671</v>
      </c>
      <c r="Y22" s="45">
        <v>1870</v>
      </c>
      <c r="Z22" s="45">
        <v>1313</v>
      </c>
      <c r="AA22" s="50">
        <v>865</v>
      </c>
      <c r="AB22" s="50">
        <v>830</v>
      </c>
      <c r="AD22" s="48"/>
      <c r="AE22" s="44"/>
      <c r="AF22" s="44"/>
    </row>
    <row r="23" spans="1:32">
      <c r="A23" s="60">
        <v>2001</v>
      </c>
      <c r="B23" s="62">
        <f t="shared" si="0"/>
        <v>67226</v>
      </c>
      <c r="C23" s="62">
        <f t="shared" si="1"/>
        <v>90385</v>
      </c>
      <c r="D23" s="62">
        <f t="shared" si="2"/>
        <v>3281</v>
      </c>
      <c r="E23" s="64">
        <f t="shared" si="3"/>
        <v>128.19294538130964</v>
      </c>
      <c r="F23" s="54">
        <f t="shared" si="4"/>
        <v>78.00741273441389</v>
      </c>
      <c r="G23" s="54">
        <f t="shared" si="5"/>
        <v>74.377385628146271</v>
      </c>
      <c r="H23" s="54">
        <f t="shared" si="6"/>
        <v>3.630027106267633</v>
      </c>
      <c r="I23" s="65">
        <f t="shared" si="7"/>
        <v>95.346561334335604</v>
      </c>
      <c r="J23" s="54">
        <f t="shared" si="8"/>
        <v>4.653438665664396</v>
      </c>
      <c r="K23" s="49">
        <v>154</v>
      </c>
      <c r="L23" s="49">
        <v>65</v>
      </c>
      <c r="M23" s="45">
        <v>23419</v>
      </c>
      <c r="N23" s="45">
        <v>24419</v>
      </c>
      <c r="O23" s="45">
        <v>19388</v>
      </c>
      <c r="P23" s="45">
        <v>16435</v>
      </c>
      <c r="Q23" s="45">
        <v>12091</v>
      </c>
      <c r="R23" s="45">
        <v>11573</v>
      </c>
      <c r="S23" s="45">
        <v>14289</v>
      </c>
      <c r="T23" s="45">
        <v>12245</v>
      </c>
      <c r="U23" s="45">
        <v>9196</v>
      </c>
      <c r="V23" s="45">
        <v>5707</v>
      </c>
      <c r="W23" s="45">
        <v>3922</v>
      </c>
      <c r="X23" s="45">
        <v>2866</v>
      </c>
      <c r="Y23" s="45">
        <v>2061</v>
      </c>
      <c r="Z23" s="45">
        <v>1398</v>
      </c>
      <c r="AA23" s="50">
        <v>956</v>
      </c>
      <c r="AB23" s="50">
        <v>927</v>
      </c>
      <c r="AD23" s="48"/>
      <c r="AE23" s="44"/>
      <c r="AF23" s="44"/>
    </row>
    <row r="24" spans="1:32">
      <c r="A24" s="60">
        <v>2002</v>
      </c>
      <c r="B24" s="62">
        <f t="shared" si="0"/>
        <v>69583</v>
      </c>
      <c r="C24" s="62">
        <f t="shared" si="1"/>
        <v>95213</v>
      </c>
      <c r="D24" s="62">
        <f t="shared" si="2"/>
        <v>3570</v>
      </c>
      <c r="E24" s="64">
        <f t="shared" si="3"/>
        <v>130.15597446447856</v>
      </c>
      <c r="F24" s="54">
        <f t="shared" si="4"/>
        <v>76.830894940816904</v>
      </c>
      <c r="G24" s="54">
        <f t="shared" si="5"/>
        <v>73.08140695073152</v>
      </c>
      <c r="H24" s="54">
        <f t="shared" si="6"/>
        <v>3.7494879900853872</v>
      </c>
      <c r="I24" s="65">
        <f t="shared" si="7"/>
        <v>95.119817369075776</v>
      </c>
      <c r="J24" s="54">
        <f t="shared" si="8"/>
        <v>4.8801826309242244</v>
      </c>
      <c r="K24" s="49">
        <v>154</v>
      </c>
      <c r="L24" s="49">
        <v>65</v>
      </c>
      <c r="M24" s="46">
        <v>23084</v>
      </c>
      <c r="N24" s="46">
        <v>25990</v>
      </c>
      <c r="O24" s="46">
        <v>20509</v>
      </c>
      <c r="P24" s="46">
        <v>17452</v>
      </c>
      <c r="Q24" s="46">
        <v>13397</v>
      </c>
      <c r="R24" s="46">
        <v>10953</v>
      </c>
      <c r="S24" s="46">
        <v>14615</v>
      </c>
      <c r="T24" s="46">
        <v>12780</v>
      </c>
      <c r="U24" s="46">
        <v>10112</v>
      </c>
      <c r="V24" s="46">
        <v>6305</v>
      </c>
      <c r="W24" s="46">
        <v>4273</v>
      </c>
      <c r="X24" s="46">
        <v>3074</v>
      </c>
      <c r="Y24" s="46">
        <v>2252</v>
      </c>
      <c r="Z24" s="46">
        <v>1496</v>
      </c>
      <c r="AA24" s="46">
        <v>1042</v>
      </c>
      <c r="AB24" s="46">
        <v>1032</v>
      </c>
      <c r="AD24" s="48"/>
      <c r="AE24" s="44"/>
      <c r="AF24" s="44"/>
    </row>
    <row r="25" spans="1:32">
      <c r="A25" s="60">
        <v>2003</v>
      </c>
      <c r="B25" s="62">
        <f t="shared" si="0"/>
        <v>71881</v>
      </c>
      <c r="C25" s="62">
        <f t="shared" si="1"/>
        <v>100182</v>
      </c>
      <c r="D25" s="62">
        <f t="shared" si="2"/>
        <v>3884</v>
      </c>
      <c r="E25" s="64">
        <f t="shared" si="3"/>
        <v>132.22728172639083</v>
      </c>
      <c r="F25" s="54">
        <f t="shared" si="4"/>
        <v>75.627358208061324</v>
      </c>
      <c r="G25" s="54">
        <f t="shared" si="5"/>
        <v>71.750414246072154</v>
      </c>
      <c r="H25" s="54">
        <f t="shared" si="6"/>
        <v>3.8769439619891801</v>
      </c>
      <c r="I25" s="65">
        <f t="shared" si="7"/>
        <v>94.873622385006257</v>
      </c>
      <c r="J25" s="54">
        <f t="shared" si="8"/>
        <v>5.1263776149937428</v>
      </c>
      <c r="K25" s="49">
        <v>154</v>
      </c>
      <c r="L25" s="49">
        <v>65</v>
      </c>
      <c r="M25" s="45">
        <v>23447</v>
      </c>
      <c r="N25" s="45">
        <v>26623</v>
      </c>
      <c r="O25" s="45">
        <v>21811</v>
      </c>
      <c r="P25" s="45">
        <v>18495</v>
      </c>
      <c r="Q25" s="45">
        <v>14639</v>
      </c>
      <c r="R25" s="45">
        <v>10766</v>
      </c>
      <c r="S25" s="45">
        <v>14612</v>
      </c>
      <c r="T25" s="45">
        <v>13332</v>
      </c>
      <c r="U25" s="45">
        <v>10954</v>
      </c>
      <c r="V25" s="45">
        <v>6987</v>
      </c>
      <c r="W25" s="45">
        <v>4663</v>
      </c>
      <c r="X25" s="45">
        <v>3297</v>
      </c>
      <c r="Y25" s="45">
        <v>2437</v>
      </c>
      <c r="Z25" s="45">
        <v>1615</v>
      </c>
      <c r="AA25" s="45">
        <v>1122</v>
      </c>
      <c r="AB25" s="45">
        <v>1147</v>
      </c>
      <c r="AD25" s="48"/>
      <c r="AE25" s="44"/>
      <c r="AF25" s="44"/>
    </row>
    <row r="26" spans="1:32">
      <c r="A26" s="60">
        <v>2004</v>
      </c>
      <c r="B26" s="62">
        <f t="shared" si="0"/>
        <v>74121</v>
      </c>
      <c r="C26" s="62">
        <f t="shared" si="1"/>
        <v>105311</v>
      </c>
      <c r="D26" s="62">
        <f t="shared" si="2"/>
        <v>4216</v>
      </c>
      <c r="E26" s="64">
        <f t="shared" si="3"/>
        <v>134.43328184638165</v>
      </c>
      <c r="F26" s="54">
        <f t="shared" si="4"/>
        <v>74.38634140783013</v>
      </c>
      <c r="G26" s="54">
        <f t="shared" si="5"/>
        <v>70.38296094425084</v>
      </c>
      <c r="H26" s="54">
        <f t="shared" si="6"/>
        <v>4.0033804635793038</v>
      </c>
      <c r="I26" s="65">
        <f t="shared" si="7"/>
        <v>94.618124258013452</v>
      </c>
      <c r="J26" s="54">
        <f t="shared" si="8"/>
        <v>5.3818757419865477</v>
      </c>
      <c r="K26" s="49">
        <v>154</v>
      </c>
      <c r="L26" s="49">
        <v>65</v>
      </c>
      <c r="M26" s="45">
        <v>24145</v>
      </c>
      <c r="N26" s="45">
        <v>26644</v>
      </c>
      <c r="O26" s="45">
        <v>23332</v>
      </c>
      <c r="P26" s="45">
        <v>19550</v>
      </c>
      <c r="Q26" s="45">
        <v>15773</v>
      </c>
      <c r="R26" s="45">
        <v>11137</v>
      </c>
      <c r="S26" s="45">
        <v>14205</v>
      </c>
      <c r="T26" s="45">
        <v>13940</v>
      </c>
      <c r="U26" s="45">
        <v>11679</v>
      </c>
      <c r="V26" s="45">
        <v>7780</v>
      </c>
      <c r="W26" s="45">
        <v>5081</v>
      </c>
      <c r="X26" s="45">
        <v>3546</v>
      </c>
      <c r="Y26" s="45">
        <v>2620</v>
      </c>
      <c r="Z26" s="45">
        <v>1752</v>
      </c>
      <c r="AA26" s="45">
        <v>1195</v>
      </c>
      <c r="AB26" s="45">
        <v>1269</v>
      </c>
      <c r="AD26" s="48"/>
      <c r="AE26" s="44"/>
      <c r="AF26" s="44"/>
    </row>
    <row r="27" spans="1:32">
      <c r="A27" s="60">
        <v>2005</v>
      </c>
      <c r="B27" s="62">
        <f t="shared" si="0"/>
        <v>76333</v>
      </c>
      <c r="C27" s="62">
        <f t="shared" si="1"/>
        <v>110557</v>
      </c>
      <c r="D27" s="62">
        <f t="shared" si="2"/>
        <v>4578</v>
      </c>
      <c r="E27" s="64">
        <f t="shared" si="3"/>
        <v>136.64025905006736</v>
      </c>
      <c r="F27" s="54">
        <f t="shared" si="4"/>
        <v>73.184872961458794</v>
      </c>
      <c r="G27" s="54">
        <f t="shared" si="5"/>
        <v>69.044022540409017</v>
      </c>
      <c r="H27" s="54">
        <f t="shared" si="6"/>
        <v>4.140850421049775</v>
      </c>
      <c r="I27" s="65">
        <f t="shared" si="7"/>
        <v>94.341931257801775</v>
      </c>
      <c r="J27" s="54">
        <f t="shared" si="8"/>
        <v>5.6580687421982248</v>
      </c>
      <c r="K27" s="49">
        <v>154</v>
      </c>
      <c r="L27" s="49">
        <v>65</v>
      </c>
      <c r="M27" s="45">
        <v>24868</v>
      </c>
      <c r="N27" s="45">
        <v>26378</v>
      </c>
      <c r="O27" s="45">
        <v>25087</v>
      </c>
      <c r="P27" s="45">
        <v>20558</v>
      </c>
      <c r="Q27" s="45">
        <v>16846</v>
      </c>
      <c r="R27" s="45">
        <v>11989</v>
      </c>
      <c r="S27" s="45">
        <v>13476</v>
      </c>
      <c r="T27" s="45">
        <v>14580</v>
      </c>
      <c r="U27" s="45">
        <v>12299</v>
      </c>
      <c r="V27" s="45">
        <v>8663</v>
      </c>
      <c r="W27" s="45">
        <v>5527</v>
      </c>
      <c r="X27" s="45">
        <v>3823</v>
      </c>
      <c r="Y27" s="45">
        <v>2796</v>
      </c>
      <c r="Z27" s="45">
        <v>1911</v>
      </c>
      <c r="AA27" s="45">
        <v>1267</v>
      </c>
      <c r="AB27" s="45">
        <v>1400</v>
      </c>
      <c r="AD27" s="48"/>
      <c r="AE27" s="44"/>
      <c r="AF27" s="44"/>
    </row>
    <row r="28" spans="1:32">
      <c r="A28" s="60">
        <v>2006</v>
      </c>
      <c r="B28" s="62">
        <f t="shared" si="0"/>
        <v>78475</v>
      </c>
      <c r="C28" s="62">
        <f t="shared" si="1"/>
        <v>115979</v>
      </c>
      <c r="D28" s="62">
        <f t="shared" si="2"/>
        <v>4959</v>
      </c>
      <c r="E28" s="64">
        <f t="shared" si="3"/>
        <v>139.00687968933528</v>
      </c>
      <c r="F28" s="54">
        <f t="shared" si="4"/>
        <v>71.938885487890047</v>
      </c>
      <c r="G28" s="54">
        <f t="shared" si="5"/>
        <v>67.663111425344241</v>
      </c>
      <c r="H28" s="54">
        <f t="shared" si="6"/>
        <v>4.2757740625458052</v>
      </c>
      <c r="I28" s="65">
        <f t="shared" si="7"/>
        <v>94.056379893089144</v>
      </c>
      <c r="J28" s="54">
        <f t="shared" si="8"/>
        <v>5.9436201069108563</v>
      </c>
      <c r="K28" s="49">
        <v>154</v>
      </c>
      <c r="L28" s="49">
        <v>65</v>
      </c>
      <c r="M28" s="45">
        <v>25607</v>
      </c>
      <c r="N28" s="45">
        <v>25946</v>
      </c>
      <c r="O28" s="45">
        <v>26922</v>
      </c>
      <c r="P28" s="45">
        <v>21577</v>
      </c>
      <c r="Q28" s="45">
        <v>17866</v>
      </c>
      <c r="R28" s="45">
        <v>13177</v>
      </c>
      <c r="S28" s="45">
        <v>12662</v>
      </c>
      <c r="T28" s="45">
        <v>15135</v>
      </c>
      <c r="U28" s="45">
        <v>12843</v>
      </c>
      <c r="V28" s="45">
        <v>9593</v>
      </c>
      <c r="W28" s="45">
        <v>6019</v>
      </c>
      <c r="X28" s="45">
        <v>4130</v>
      </c>
      <c r="Y28" s="45">
        <v>2977</v>
      </c>
      <c r="Z28" s="45">
        <v>2084</v>
      </c>
      <c r="AA28" s="45">
        <v>1339</v>
      </c>
      <c r="AB28" s="45">
        <v>1536</v>
      </c>
      <c r="AD28" s="48"/>
      <c r="AE28" s="44"/>
      <c r="AF28" s="44"/>
    </row>
    <row r="29" spans="1:32">
      <c r="A29" s="60">
        <v>2007</v>
      </c>
      <c r="B29" s="62">
        <f t="shared" si="0"/>
        <v>80469</v>
      </c>
      <c r="C29" s="62">
        <f t="shared" si="1"/>
        <v>121650</v>
      </c>
      <c r="D29" s="62">
        <f t="shared" si="2"/>
        <v>5355</v>
      </c>
      <c r="E29" s="64">
        <f t="shared" si="3"/>
        <v>141.7435682326622</v>
      </c>
      <c r="F29" s="54">
        <f t="shared" si="4"/>
        <v>70.549938347718864</v>
      </c>
      <c r="G29" s="54">
        <f t="shared" si="5"/>
        <v>66.147965474722568</v>
      </c>
      <c r="H29" s="54">
        <f t="shared" si="6"/>
        <v>4.4019728729963008</v>
      </c>
      <c r="I29" s="65">
        <f t="shared" si="7"/>
        <v>93.760486577181211</v>
      </c>
      <c r="J29" s="54">
        <f t="shared" si="8"/>
        <v>6.2395134228187885</v>
      </c>
      <c r="K29" s="49">
        <v>154</v>
      </c>
      <c r="L29" s="49">
        <v>65</v>
      </c>
      <c r="M29" s="45">
        <v>26358</v>
      </c>
      <c r="N29" s="45">
        <v>25623</v>
      </c>
      <c r="O29" s="45">
        <v>28488</v>
      </c>
      <c r="P29" s="45">
        <v>22697</v>
      </c>
      <c r="Q29" s="45">
        <v>18872</v>
      </c>
      <c r="R29" s="45">
        <v>14473</v>
      </c>
      <c r="S29" s="45">
        <v>12056</v>
      </c>
      <c r="T29" s="45">
        <v>15461</v>
      </c>
      <c r="U29" s="45">
        <v>13372</v>
      </c>
      <c r="V29" s="45">
        <v>10484</v>
      </c>
      <c r="W29" s="45">
        <v>6599</v>
      </c>
      <c r="X29" s="45">
        <v>4461</v>
      </c>
      <c r="Y29" s="45">
        <v>3175</v>
      </c>
      <c r="Z29" s="45">
        <v>2255</v>
      </c>
      <c r="AA29" s="45">
        <v>1424</v>
      </c>
      <c r="AB29" s="45">
        <v>1676</v>
      </c>
      <c r="AD29" s="48"/>
      <c r="AE29" s="44"/>
      <c r="AF29" s="44"/>
    </row>
    <row r="30" spans="1:32">
      <c r="A30" s="60">
        <v>2008</v>
      </c>
      <c r="B30" s="62">
        <f t="shared" si="0"/>
        <v>82259</v>
      </c>
      <c r="C30" s="62">
        <f t="shared" si="1"/>
        <v>127650</v>
      </c>
      <c r="D30" s="62">
        <f t="shared" si="2"/>
        <v>5765</v>
      </c>
      <c r="E30" s="64">
        <f t="shared" si="3"/>
        <v>145.01726801781331</v>
      </c>
      <c r="F30" s="54">
        <f t="shared" si="4"/>
        <v>68.957305131218178</v>
      </c>
      <c r="G30" s="54">
        <f t="shared" si="5"/>
        <v>64.441049745397578</v>
      </c>
      <c r="H30" s="54">
        <f t="shared" si="6"/>
        <v>4.5162553858206032</v>
      </c>
      <c r="I30" s="65">
        <f t="shared" si="7"/>
        <v>93.450649822775617</v>
      </c>
      <c r="J30" s="54">
        <f t="shared" si="8"/>
        <v>6.5493501772243832</v>
      </c>
      <c r="K30" s="49">
        <v>154</v>
      </c>
      <c r="L30" s="49">
        <v>65</v>
      </c>
      <c r="M30" s="45">
        <v>27132</v>
      </c>
      <c r="N30" s="45">
        <v>25999</v>
      </c>
      <c r="O30" s="45">
        <v>29128</v>
      </c>
      <c r="P30" s="45">
        <v>23991</v>
      </c>
      <c r="Q30" s="45">
        <v>19914</v>
      </c>
      <c r="R30" s="45">
        <v>15700</v>
      </c>
      <c r="S30" s="45">
        <v>11882</v>
      </c>
      <c r="T30" s="45">
        <v>15465</v>
      </c>
      <c r="U30" s="45">
        <v>13918</v>
      </c>
      <c r="V30" s="45">
        <v>11304</v>
      </c>
      <c r="W30" s="45">
        <v>7255</v>
      </c>
      <c r="X30" s="45">
        <v>4836</v>
      </c>
      <c r="Y30" s="45">
        <v>3385</v>
      </c>
      <c r="Z30" s="45">
        <v>2420</v>
      </c>
      <c r="AA30" s="45">
        <v>1525</v>
      </c>
      <c r="AB30" s="45">
        <v>1820</v>
      </c>
      <c r="AD30" s="48"/>
      <c r="AE30" s="44"/>
      <c r="AF30" s="44"/>
    </row>
    <row r="31" spans="1:32">
      <c r="A31" s="60">
        <v>2009</v>
      </c>
      <c r="B31" s="62">
        <f t="shared" si="0"/>
        <v>83792</v>
      </c>
      <c r="C31" s="62">
        <f t="shared" si="1"/>
        <v>134029</v>
      </c>
      <c r="D31" s="62">
        <f t="shared" si="2"/>
        <v>6195</v>
      </c>
      <c r="E31" s="64">
        <f t="shared" si="3"/>
        <v>148.94262504583995</v>
      </c>
      <c r="F31" s="54">
        <f t="shared" si="4"/>
        <v>67.13994732483269</v>
      </c>
      <c r="G31" s="54">
        <f t="shared" si="5"/>
        <v>62.517813309059974</v>
      </c>
      <c r="H31" s="54">
        <f t="shared" si="6"/>
        <v>4.6221340157727058</v>
      </c>
      <c r="I31" s="65">
        <f t="shared" si="7"/>
        <v>93.115672263771444</v>
      </c>
      <c r="J31" s="54">
        <f t="shared" si="8"/>
        <v>6.8843277362285562</v>
      </c>
      <c r="K31" s="49">
        <v>154</v>
      </c>
      <c r="L31" s="49">
        <v>65</v>
      </c>
      <c r="M31" s="45">
        <v>27931</v>
      </c>
      <c r="N31" s="45">
        <v>26706</v>
      </c>
      <c r="O31" s="45">
        <v>29155</v>
      </c>
      <c r="P31" s="45">
        <v>25506</v>
      </c>
      <c r="Q31" s="45">
        <v>20961</v>
      </c>
      <c r="R31" s="45">
        <v>16830</v>
      </c>
      <c r="S31" s="45">
        <v>12253</v>
      </c>
      <c r="T31" s="45">
        <v>15072</v>
      </c>
      <c r="U31" s="45">
        <v>14519</v>
      </c>
      <c r="V31" s="45">
        <v>12014</v>
      </c>
      <c r="W31" s="45">
        <v>8023</v>
      </c>
      <c r="X31" s="45">
        <v>5236</v>
      </c>
      <c r="Y31" s="45">
        <v>3615</v>
      </c>
      <c r="Z31" s="45">
        <v>2590</v>
      </c>
      <c r="AA31" s="45">
        <v>1642</v>
      </c>
      <c r="AB31" s="45">
        <v>1963</v>
      </c>
      <c r="AD31" s="48"/>
      <c r="AE31" s="44"/>
      <c r="AF31" s="44"/>
    </row>
    <row r="32" spans="1:32">
      <c r="A32" s="60">
        <v>2010</v>
      </c>
      <c r="B32" s="62">
        <f t="shared" si="0"/>
        <v>85087</v>
      </c>
      <c r="C32" s="62">
        <f t="shared" si="1"/>
        <v>140767</v>
      </c>
      <c r="D32" s="62">
        <f t="shared" si="2"/>
        <v>6641</v>
      </c>
      <c r="E32" s="64">
        <f t="shared" si="3"/>
        <v>153.46132042560615</v>
      </c>
      <c r="F32" s="54">
        <f t="shared" si="4"/>
        <v>65.1629998508173</v>
      </c>
      <c r="G32" s="54">
        <f t="shared" si="5"/>
        <v>60.445274815830416</v>
      </c>
      <c r="H32" s="54">
        <f t="shared" si="6"/>
        <v>4.7177250349868931</v>
      </c>
      <c r="I32" s="65">
        <f t="shared" si="7"/>
        <v>92.760116867259711</v>
      </c>
      <c r="J32" s="54">
        <f t="shared" si="8"/>
        <v>7.2398831327402888</v>
      </c>
      <c r="K32" s="49">
        <v>154</v>
      </c>
      <c r="L32" s="49">
        <v>65</v>
      </c>
      <c r="M32" s="45">
        <v>28754</v>
      </c>
      <c r="N32" s="45">
        <v>27432</v>
      </c>
      <c r="O32" s="45">
        <v>28901</v>
      </c>
      <c r="P32" s="45">
        <v>27255</v>
      </c>
      <c r="Q32" s="45">
        <v>21969</v>
      </c>
      <c r="R32" s="45">
        <v>17893</v>
      </c>
      <c r="S32" s="45">
        <v>13099</v>
      </c>
      <c r="T32" s="45">
        <v>14364</v>
      </c>
      <c r="U32" s="45">
        <v>15155</v>
      </c>
      <c r="V32" s="45">
        <v>12623</v>
      </c>
      <c r="W32" s="45">
        <v>8874</v>
      </c>
      <c r="X32" s="45">
        <v>5659</v>
      </c>
      <c r="Y32" s="45">
        <v>3876</v>
      </c>
      <c r="Z32" s="45">
        <v>2747</v>
      </c>
      <c r="AA32" s="45">
        <v>1779</v>
      </c>
      <c r="AB32" s="45">
        <v>2115</v>
      </c>
      <c r="AD32" s="48"/>
      <c r="AE32" s="44"/>
      <c r="AF32" s="44"/>
    </row>
    <row r="33" spans="1:32">
      <c r="A33" s="60">
        <v>2011</v>
      </c>
      <c r="B33" s="62">
        <f t="shared" si="0"/>
        <v>86175</v>
      </c>
      <c r="C33" s="62">
        <f t="shared" si="1"/>
        <v>147751</v>
      </c>
      <c r="D33" s="62">
        <f t="shared" si="2"/>
        <v>7110</v>
      </c>
      <c r="E33" s="64">
        <f t="shared" si="3"/>
        <v>158.38666452269925</v>
      </c>
      <c r="F33" s="54">
        <f t="shared" si="4"/>
        <v>63.136628516896678</v>
      </c>
      <c r="G33" s="54">
        <f t="shared" si="5"/>
        <v>58.324478345324223</v>
      </c>
      <c r="H33" s="54">
        <f t="shared" si="6"/>
        <v>4.8121501715724424</v>
      </c>
      <c r="I33" s="65">
        <f t="shared" si="7"/>
        <v>92.378195851423058</v>
      </c>
      <c r="J33" s="54">
        <f t="shared" si="8"/>
        <v>7.6218041485769419</v>
      </c>
      <c r="K33" s="49">
        <v>154</v>
      </c>
      <c r="L33" s="49">
        <v>65</v>
      </c>
      <c r="M33" s="45">
        <v>29513</v>
      </c>
      <c r="N33" s="45">
        <v>28178</v>
      </c>
      <c r="O33" s="45">
        <v>28484</v>
      </c>
      <c r="P33" s="45">
        <v>29080</v>
      </c>
      <c r="Q33" s="45">
        <v>22981</v>
      </c>
      <c r="R33" s="45">
        <v>18908</v>
      </c>
      <c r="S33" s="45">
        <v>14278</v>
      </c>
      <c r="T33" s="45">
        <v>13574</v>
      </c>
      <c r="U33" s="45">
        <v>15701</v>
      </c>
      <c r="V33" s="45">
        <v>13160</v>
      </c>
      <c r="W33" s="45">
        <v>9771</v>
      </c>
      <c r="X33" s="45">
        <v>6133</v>
      </c>
      <c r="Y33" s="45">
        <v>4165</v>
      </c>
      <c r="Z33" s="45">
        <v>2914</v>
      </c>
      <c r="AA33" s="45">
        <v>1924</v>
      </c>
      <c r="AB33" s="45">
        <v>2272</v>
      </c>
      <c r="AD33" s="48"/>
      <c r="AE33" s="44"/>
      <c r="AF33" s="44"/>
    </row>
    <row r="34" spans="1:32">
      <c r="A34" s="60">
        <v>2012</v>
      </c>
      <c r="B34" s="62">
        <f t="shared" si="0"/>
        <v>87619</v>
      </c>
      <c r="C34" s="62">
        <f t="shared" si="1"/>
        <v>154702</v>
      </c>
      <c r="D34" s="62">
        <f t="shared" si="2"/>
        <v>7607</v>
      </c>
      <c r="E34" s="64">
        <f t="shared" si="3"/>
        <v>162.45773213198075</v>
      </c>
      <c r="F34" s="54">
        <f t="shared" si="4"/>
        <v>61.55447246965133</v>
      </c>
      <c r="G34" s="54">
        <f t="shared" si="5"/>
        <v>56.637276829000271</v>
      </c>
      <c r="H34" s="54">
        <f t="shared" si="6"/>
        <v>4.9171956406510589</v>
      </c>
      <c r="I34" s="65">
        <f t="shared" si="7"/>
        <v>92.011635477705667</v>
      </c>
      <c r="J34" s="54">
        <f t="shared" si="8"/>
        <v>7.9883645222943329</v>
      </c>
      <c r="K34" s="49">
        <v>154</v>
      </c>
      <c r="L34" s="49">
        <v>65</v>
      </c>
      <c r="M34" s="45">
        <v>30512</v>
      </c>
      <c r="N34" s="45">
        <v>28938</v>
      </c>
      <c r="O34" s="45">
        <v>28169</v>
      </c>
      <c r="P34" s="45">
        <v>30641</v>
      </c>
      <c r="Q34" s="45">
        <v>24095</v>
      </c>
      <c r="R34" s="45">
        <v>19911</v>
      </c>
      <c r="S34" s="45">
        <v>15562</v>
      </c>
      <c r="T34" s="45">
        <v>12984</v>
      </c>
      <c r="U34" s="45">
        <v>16032</v>
      </c>
      <c r="V34" s="45">
        <v>13681</v>
      </c>
      <c r="W34" s="45">
        <v>10632</v>
      </c>
      <c r="X34" s="45">
        <v>6688</v>
      </c>
      <c r="Y34" s="45">
        <v>4476</v>
      </c>
      <c r="Z34" s="45">
        <v>3093</v>
      </c>
      <c r="AA34" s="45">
        <v>2073</v>
      </c>
      <c r="AB34" s="45">
        <v>2441</v>
      </c>
      <c r="AD34" s="48"/>
      <c r="AE34" s="44"/>
      <c r="AF34" s="44"/>
    </row>
    <row r="35" spans="1:32">
      <c r="A35" s="60">
        <v>2013</v>
      </c>
      <c r="B35" s="66">
        <f t="shared" si="0"/>
        <v>89700</v>
      </c>
      <c r="C35" s="66">
        <f t="shared" si="1"/>
        <v>161050</v>
      </c>
      <c r="D35" s="66">
        <f t="shared" si="2"/>
        <v>8130</v>
      </c>
      <c r="E35" s="64">
        <f t="shared" si="3"/>
        <v>164.62230399672902</v>
      </c>
      <c r="F35" s="54">
        <f t="shared" si="4"/>
        <v>60.745110214219189</v>
      </c>
      <c r="G35" s="54">
        <f t="shared" si="5"/>
        <v>55.696988512884197</v>
      </c>
      <c r="H35" s="54">
        <f t="shared" si="6"/>
        <v>5.0481217013349893</v>
      </c>
      <c r="I35" s="65">
        <f t="shared" si="7"/>
        <v>91.689665746703469</v>
      </c>
      <c r="J35" s="54">
        <f t="shared" si="8"/>
        <v>8.3103342532965314</v>
      </c>
      <c r="K35" s="49">
        <v>154</v>
      </c>
      <c r="L35" s="49">
        <v>65</v>
      </c>
      <c r="M35" s="45">
        <v>31429</v>
      </c>
      <c r="N35" s="45">
        <v>29719</v>
      </c>
      <c r="O35" s="45">
        <v>28552</v>
      </c>
      <c r="P35" s="45">
        <v>31283</v>
      </c>
      <c r="Q35" s="45">
        <v>25384</v>
      </c>
      <c r="R35" s="45">
        <v>20948</v>
      </c>
      <c r="S35" s="45">
        <v>16778</v>
      </c>
      <c r="T35" s="45">
        <v>12823</v>
      </c>
      <c r="U35" s="45">
        <v>16042</v>
      </c>
      <c r="V35" s="45">
        <v>14219</v>
      </c>
      <c r="W35" s="45">
        <v>11431</v>
      </c>
      <c r="X35" s="45">
        <v>7312</v>
      </c>
      <c r="Y35" s="45">
        <v>4830</v>
      </c>
      <c r="Z35" s="45">
        <v>3288</v>
      </c>
      <c r="AA35" s="45">
        <v>2213</v>
      </c>
      <c r="AB35" s="45">
        <v>2629</v>
      </c>
      <c r="AD35" s="48"/>
      <c r="AE35" s="44"/>
      <c r="AF35" s="44"/>
    </row>
    <row r="36" spans="1:32">
      <c r="A36" s="60">
        <v>2014</v>
      </c>
      <c r="B36" s="66">
        <f t="shared" si="0"/>
        <v>92160</v>
      </c>
      <c r="C36" s="66">
        <f t="shared" si="1"/>
        <v>167145</v>
      </c>
      <c r="D36" s="66">
        <f t="shared" si="2"/>
        <v>8689</v>
      </c>
      <c r="E36" s="64">
        <f t="shared" si="3"/>
        <v>165.73788535335007</v>
      </c>
      <c r="F36" s="54">
        <f t="shared" si="4"/>
        <v>60.336235005534121</v>
      </c>
      <c r="G36" s="54">
        <f t="shared" si="5"/>
        <v>55.137754644171231</v>
      </c>
      <c r="H36" s="54">
        <f t="shared" si="6"/>
        <v>5.1984803613628889</v>
      </c>
      <c r="I36" s="65">
        <f t="shared" si="7"/>
        <v>91.384148578567959</v>
      </c>
      <c r="J36" s="54">
        <f t="shared" si="8"/>
        <v>8.6158514214320405</v>
      </c>
      <c r="K36" s="49">
        <v>154</v>
      </c>
      <c r="L36" s="49">
        <v>65</v>
      </c>
      <c r="M36" s="45">
        <v>32373</v>
      </c>
      <c r="N36" s="45">
        <v>30522</v>
      </c>
      <c r="O36" s="45">
        <v>29265</v>
      </c>
      <c r="P36" s="45">
        <v>31316</v>
      </c>
      <c r="Q36" s="45">
        <v>26891</v>
      </c>
      <c r="R36" s="45">
        <v>21990</v>
      </c>
      <c r="S36" s="45">
        <v>17903</v>
      </c>
      <c r="T36" s="45">
        <v>13194</v>
      </c>
      <c r="U36" s="45">
        <v>15663</v>
      </c>
      <c r="V36" s="45">
        <v>14816</v>
      </c>
      <c r="W36" s="45">
        <v>12119</v>
      </c>
      <c r="X36" s="45">
        <v>8047</v>
      </c>
      <c r="Y36" s="45">
        <v>5206</v>
      </c>
      <c r="Z36" s="45">
        <v>3498</v>
      </c>
      <c r="AA36" s="45">
        <v>2360</v>
      </c>
      <c r="AB36" s="45">
        <v>2831</v>
      </c>
      <c r="AD36" s="48"/>
      <c r="AE36" s="44"/>
      <c r="AF36" s="44"/>
    </row>
    <row r="37" spans="1:32">
      <c r="A37" s="60">
        <v>2015</v>
      </c>
      <c r="B37" s="66">
        <f t="shared" si="0"/>
        <v>94683</v>
      </c>
      <c r="C37" s="66">
        <f t="shared" si="1"/>
        <v>173296</v>
      </c>
      <c r="D37" s="66">
        <f t="shared" si="2"/>
        <v>9291</v>
      </c>
      <c r="E37" s="64">
        <f t="shared" si="3"/>
        <v>166.67243734010427</v>
      </c>
      <c r="F37" s="54">
        <f t="shared" si="4"/>
        <v>59.99792262948943</v>
      </c>
      <c r="G37" s="54">
        <f t="shared" si="5"/>
        <v>54.636575570122794</v>
      </c>
      <c r="H37" s="54">
        <f t="shared" si="6"/>
        <v>5.3613470593666328</v>
      </c>
      <c r="I37" s="65">
        <f t="shared" si="7"/>
        <v>91.06411218189163</v>
      </c>
      <c r="J37" s="54">
        <f t="shared" si="8"/>
        <v>8.9358878181083696</v>
      </c>
      <c r="K37" s="49">
        <v>154</v>
      </c>
      <c r="L37" s="49">
        <v>65</v>
      </c>
      <c r="M37" s="45">
        <v>33336</v>
      </c>
      <c r="N37" s="45">
        <v>31352</v>
      </c>
      <c r="O37" s="45">
        <v>29995</v>
      </c>
      <c r="P37" s="45">
        <v>31070</v>
      </c>
      <c r="Q37" s="45">
        <v>28629</v>
      </c>
      <c r="R37" s="45">
        <v>22995</v>
      </c>
      <c r="S37" s="45">
        <v>18962</v>
      </c>
      <c r="T37" s="45">
        <v>14035</v>
      </c>
      <c r="U37" s="45">
        <v>14978</v>
      </c>
      <c r="V37" s="45">
        <v>15441</v>
      </c>
      <c r="W37" s="45">
        <v>12715</v>
      </c>
      <c r="X37" s="45">
        <v>8866</v>
      </c>
      <c r="Y37" s="45">
        <v>5605</v>
      </c>
      <c r="Z37" s="45">
        <v>3738</v>
      </c>
      <c r="AA37" s="45">
        <v>2503</v>
      </c>
      <c r="AB37" s="45">
        <v>3050</v>
      </c>
      <c r="AD37" s="48"/>
      <c r="AE37" s="44"/>
      <c r="AF37" s="44"/>
    </row>
    <row r="38" spans="1:32">
      <c r="A38" s="60">
        <v>2016</v>
      </c>
      <c r="B38" s="66">
        <f t="shared" si="0"/>
        <v>97281</v>
      </c>
      <c r="C38" s="66">
        <f t="shared" si="1"/>
        <v>179500</v>
      </c>
      <c r="D38" s="66">
        <f t="shared" si="2"/>
        <v>9937</v>
      </c>
      <c r="E38" s="64">
        <f t="shared" si="3"/>
        <v>167.41591896882986</v>
      </c>
      <c r="F38" s="54">
        <f t="shared" si="4"/>
        <v>59.731476323119779</v>
      </c>
      <c r="G38" s="54">
        <f t="shared" si="5"/>
        <v>54.195543175487472</v>
      </c>
      <c r="H38" s="54">
        <f t="shared" si="6"/>
        <v>5.5359331476323117</v>
      </c>
      <c r="I38" s="65">
        <f t="shared" si="7"/>
        <v>90.731966647391289</v>
      </c>
      <c r="J38" s="54">
        <f t="shared" si="8"/>
        <v>9.2680333526087111</v>
      </c>
      <c r="K38" s="49">
        <v>154</v>
      </c>
      <c r="L38" s="49">
        <v>65</v>
      </c>
      <c r="M38" s="45">
        <v>34322</v>
      </c>
      <c r="N38" s="45">
        <v>32214</v>
      </c>
      <c r="O38" s="45">
        <v>30745</v>
      </c>
      <c r="P38" s="45">
        <v>30664</v>
      </c>
      <c r="Q38" s="45">
        <v>30447</v>
      </c>
      <c r="R38" s="45">
        <v>24005</v>
      </c>
      <c r="S38" s="45">
        <v>19970</v>
      </c>
      <c r="T38" s="45">
        <v>15208</v>
      </c>
      <c r="U38" s="45">
        <v>14207</v>
      </c>
      <c r="V38" s="45">
        <v>15982</v>
      </c>
      <c r="W38" s="45">
        <v>13241</v>
      </c>
      <c r="X38" s="45">
        <v>9725</v>
      </c>
      <c r="Y38" s="45">
        <v>6051</v>
      </c>
      <c r="Z38" s="45">
        <v>4004</v>
      </c>
      <c r="AA38" s="45">
        <v>2647</v>
      </c>
      <c r="AB38" s="45">
        <v>3286</v>
      </c>
      <c r="AD38" s="48"/>
      <c r="AE38" s="44"/>
      <c r="AF38" s="44"/>
    </row>
    <row r="39" spans="1:32">
      <c r="A39" s="60">
        <v>2017</v>
      </c>
      <c r="B39" s="66">
        <f t="shared" si="0"/>
        <v>99961</v>
      </c>
      <c r="C39" s="66">
        <f t="shared" si="1"/>
        <v>185754</v>
      </c>
      <c r="D39" s="66">
        <f t="shared" si="2"/>
        <v>10630</v>
      </c>
      <c r="E39" s="64">
        <f t="shared" si="3"/>
        <v>167.96484343210568</v>
      </c>
      <c r="F39" s="54">
        <f t="shared" si="4"/>
        <v>59.536268397988735</v>
      </c>
      <c r="G39" s="54">
        <f t="shared" si="5"/>
        <v>53.81364600493125</v>
      </c>
      <c r="H39" s="54">
        <f t="shared" si="6"/>
        <v>5.7226223930574847</v>
      </c>
      <c r="I39" s="65">
        <f t="shared" si="7"/>
        <v>90.388006257290371</v>
      </c>
      <c r="J39" s="54">
        <f t="shared" si="8"/>
        <v>9.6119937427096289</v>
      </c>
      <c r="K39" s="49">
        <v>154</v>
      </c>
      <c r="L39" s="49">
        <v>65</v>
      </c>
      <c r="M39" s="45">
        <v>35333</v>
      </c>
      <c r="N39" s="45">
        <v>33118</v>
      </c>
      <c r="O39" s="45">
        <v>31510</v>
      </c>
      <c r="P39" s="45">
        <v>30357</v>
      </c>
      <c r="Q39" s="45">
        <v>32004</v>
      </c>
      <c r="R39" s="45">
        <v>25113</v>
      </c>
      <c r="S39" s="45">
        <v>20973</v>
      </c>
      <c r="T39" s="45">
        <v>16478</v>
      </c>
      <c r="U39" s="45">
        <v>13640</v>
      </c>
      <c r="V39" s="45">
        <v>16309</v>
      </c>
      <c r="W39" s="45">
        <v>13754</v>
      </c>
      <c r="X39" s="45">
        <v>10551</v>
      </c>
      <c r="Y39" s="45">
        <v>6575</v>
      </c>
      <c r="Z39" s="45">
        <v>4291</v>
      </c>
      <c r="AA39" s="45">
        <v>2805</v>
      </c>
      <c r="AB39" s="45">
        <v>3534</v>
      </c>
      <c r="AD39" s="48"/>
      <c r="AE39" s="44"/>
      <c r="AF39" s="44"/>
    </row>
    <row r="40" spans="1:32">
      <c r="A40" s="60">
        <v>2018</v>
      </c>
      <c r="B40" s="66">
        <f t="shared" si="0"/>
        <v>102667</v>
      </c>
      <c r="C40" s="66">
        <f t="shared" si="1"/>
        <v>192066</v>
      </c>
      <c r="D40" s="66">
        <f t="shared" si="2"/>
        <v>11385</v>
      </c>
      <c r="E40" s="64">
        <f t="shared" si="3"/>
        <v>168.40213236067757</v>
      </c>
      <c r="F40" s="54">
        <f t="shared" si="4"/>
        <v>59.381670883966976</v>
      </c>
      <c r="G40" s="54">
        <f t="shared" si="5"/>
        <v>53.454021013609911</v>
      </c>
      <c r="H40" s="54">
        <f t="shared" si="6"/>
        <v>5.9276498703570653</v>
      </c>
      <c r="I40" s="65">
        <f t="shared" si="7"/>
        <v>90.017711219443768</v>
      </c>
      <c r="J40" s="54">
        <f t="shared" si="8"/>
        <v>9.9822887805562317</v>
      </c>
      <c r="K40" s="49">
        <v>154</v>
      </c>
      <c r="L40" s="49">
        <v>65</v>
      </c>
      <c r="M40" s="45">
        <v>36334</v>
      </c>
      <c r="N40" s="45">
        <v>34042</v>
      </c>
      <c r="O40" s="45">
        <v>32291</v>
      </c>
      <c r="P40" s="45">
        <v>30746</v>
      </c>
      <c r="Q40" s="45">
        <v>32647</v>
      </c>
      <c r="R40" s="45">
        <v>26396</v>
      </c>
      <c r="S40" s="45">
        <v>22005</v>
      </c>
      <c r="T40" s="45">
        <v>17684</v>
      </c>
      <c r="U40" s="45">
        <v>13491</v>
      </c>
      <c r="V40" s="45">
        <v>16331</v>
      </c>
      <c r="W40" s="45">
        <v>14282</v>
      </c>
      <c r="X40" s="45">
        <v>11318</v>
      </c>
      <c r="Y40" s="45">
        <v>7166</v>
      </c>
      <c r="Z40" s="45">
        <v>4616</v>
      </c>
      <c r="AA40" s="45">
        <v>2979</v>
      </c>
      <c r="AB40" s="45">
        <v>3790</v>
      </c>
      <c r="AD40" s="48"/>
      <c r="AE40" s="44"/>
      <c r="AF40" s="44"/>
    </row>
    <row r="41" spans="1:32">
      <c r="A41" s="61">
        <v>2019</v>
      </c>
      <c r="B41" s="63">
        <f t="shared" si="0"/>
        <v>38615.093487512437</v>
      </c>
      <c r="C41" s="63">
        <f t="shared" si="1"/>
        <v>86228.535229899819</v>
      </c>
      <c r="D41" s="63">
        <f t="shared" si="2"/>
        <v>4559.6232933219017</v>
      </c>
      <c r="E41" s="64">
        <f t="shared" si="3"/>
        <v>199.71997886544904</v>
      </c>
      <c r="F41" s="54">
        <f t="shared" si="4"/>
        <v>50.070103435855962</v>
      </c>
      <c r="G41" s="54">
        <f t="shared" si="5"/>
        <v>44.782267708199015</v>
      </c>
      <c r="H41" s="54">
        <f t="shared" si="6"/>
        <v>5.2878357276569492</v>
      </c>
      <c r="I41" s="65">
        <f t="shared" si="7"/>
        <v>89.439135602283883</v>
      </c>
      <c r="J41" s="54">
        <f t="shared" si="8"/>
        <v>10.560864397716117</v>
      </c>
      <c r="K41" s="49">
        <v>154</v>
      </c>
      <c r="L41" s="49">
        <v>65</v>
      </c>
      <c r="M41" s="47">
        <v>12385.465315721533</v>
      </c>
      <c r="N41" s="47">
        <v>12464.422895657986</v>
      </c>
      <c r="O41" s="47">
        <v>13765.205276132916</v>
      </c>
      <c r="P41" s="47">
        <v>12246.527725271477</v>
      </c>
      <c r="Q41" s="47">
        <v>11571.932279005679</v>
      </c>
      <c r="R41" s="47">
        <v>12956.984059189672</v>
      </c>
      <c r="S41" s="47">
        <v>11280.174237718706</v>
      </c>
      <c r="T41" s="47">
        <v>10414.485487772045</v>
      </c>
      <c r="U41" s="47">
        <v>5523.2993287449572</v>
      </c>
      <c r="V41" s="47">
        <v>6718.8577276983888</v>
      </c>
      <c r="W41" s="47">
        <v>6456.679407036765</v>
      </c>
      <c r="X41" s="47">
        <v>5530.6045076482151</v>
      </c>
      <c r="Y41" s="47">
        <v>3528.9904698139312</v>
      </c>
      <c r="Z41" s="47">
        <v>2328.2506215289222</v>
      </c>
      <c r="AA41" s="47">
        <v>1315.1190373107775</v>
      </c>
      <c r="AB41" s="47">
        <v>916.25363448220196</v>
      </c>
      <c r="AC41" s="47">
        <v>760.63315851924006</v>
      </c>
      <c r="AD41" s="48"/>
      <c r="AE41" s="44"/>
      <c r="AF41" s="44"/>
    </row>
    <row r="42" spans="1:32">
      <c r="A42" s="61">
        <v>2020</v>
      </c>
      <c r="B42" s="63">
        <f t="shared" si="0"/>
        <v>38667.396113523493</v>
      </c>
      <c r="C42" s="63">
        <f t="shared" si="1"/>
        <v>88044.896863571557</v>
      </c>
      <c r="D42" s="63">
        <f t="shared" si="2"/>
        <v>4790.356219150568</v>
      </c>
      <c r="E42" s="64">
        <f t="shared" si="3"/>
        <v>202.5988279135511</v>
      </c>
      <c r="F42" s="54">
        <f t="shared" si="4"/>
        <v>49.358627110453959</v>
      </c>
      <c r="G42" s="54">
        <f t="shared" si="5"/>
        <v>43.917816353899404</v>
      </c>
      <c r="H42" s="54">
        <f t="shared" si="6"/>
        <v>5.4408107565545576</v>
      </c>
      <c r="I42" s="65">
        <f t="shared" si="7"/>
        <v>88.976981178226055</v>
      </c>
      <c r="J42" s="54">
        <f t="shared" si="8"/>
        <v>11.023018821773945</v>
      </c>
      <c r="K42" s="49">
        <v>154</v>
      </c>
      <c r="L42" s="49">
        <v>65</v>
      </c>
      <c r="M42" s="51">
        <v>12484.065392207727</v>
      </c>
      <c r="N42" s="51">
        <v>12488.698255328072</v>
      </c>
      <c r="O42" s="51">
        <v>13694.632465987694</v>
      </c>
      <c r="P42" s="51">
        <v>12751.03091701666</v>
      </c>
      <c r="Q42" s="51">
        <v>11591.922244799802</v>
      </c>
      <c r="R42" s="51">
        <v>12770.197924136866</v>
      </c>
      <c r="S42" s="51">
        <v>11438.882317467755</v>
      </c>
      <c r="T42" s="51">
        <v>10741.860287806363</v>
      </c>
      <c r="U42" s="51">
        <v>6132.5437508412851</v>
      </c>
      <c r="V42" s="51">
        <v>6575.763725983692</v>
      </c>
      <c r="W42" s="51">
        <v>6606.1867788471673</v>
      </c>
      <c r="X42" s="51">
        <v>5690.8483229146159</v>
      </c>
      <c r="Y42" s="51">
        <v>3745.6605937573509</v>
      </c>
      <c r="Z42" s="51">
        <v>2424.0054827133654</v>
      </c>
      <c r="AA42" s="51">
        <v>1396.8509432963231</v>
      </c>
      <c r="AB42" s="51">
        <v>969.49979314088012</v>
      </c>
      <c r="AC42" s="51">
        <v>761.36326307608442</v>
      </c>
      <c r="AD42" s="48"/>
      <c r="AE42" s="44"/>
      <c r="AF42" s="44"/>
    </row>
    <row r="43" spans="1:32">
      <c r="A43" s="61">
        <v>2021</v>
      </c>
      <c r="B43" s="63">
        <f t="shared" si="0"/>
        <v>38555.990146752418</v>
      </c>
      <c r="C43" s="63">
        <f t="shared" si="1"/>
        <v>89963.016648084318</v>
      </c>
      <c r="D43" s="63">
        <f t="shared" si="2"/>
        <v>5025.0383249694878</v>
      </c>
      <c r="E43" s="64">
        <f t="shared" si="3"/>
        <v>206.42701607296385</v>
      </c>
      <c r="F43" s="54">
        <f t="shared" si="4"/>
        <v>48.443271574808762</v>
      </c>
      <c r="G43" s="54">
        <f t="shared" si="5"/>
        <v>42.857600359906826</v>
      </c>
      <c r="H43" s="54">
        <f t="shared" si="6"/>
        <v>5.5856712149019421</v>
      </c>
      <c r="I43" s="65">
        <f t="shared" si="7"/>
        <v>88.46966558343145</v>
      </c>
      <c r="J43" s="54">
        <f t="shared" si="8"/>
        <v>11.53033441656855</v>
      </c>
      <c r="K43" s="49">
        <v>154</v>
      </c>
      <c r="L43" s="49">
        <v>65</v>
      </c>
      <c r="M43" s="47">
        <v>12406.795541047599</v>
      </c>
      <c r="N43" s="47">
        <v>12751.883708601456</v>
      </c>
      <c r="O43" s="47">
        <v>13397.310897103367</v>
      </c>
      <c r="P43" s="47">
        <v>13308.65189269343</v>
      </c>
      <c r="Q43" s="47">
        <v>11788.43854408285</v>
      </c>
      <c r="R43" s="47">
        <v>12407.471518404944</v>
      </c>
      <c r="S43" s="47">
        <v>11736.19314890639</v>
      </c>
      <c r="T43" s="47">
        <v>10770.260674908559</v>
      </c>
      <c r="U43" s="47">
        <v>7026.1388787906781</v>
      </c>
      <c r="V43" s="47">
        <v>6325.7234009353724</v>
      </c>
      <c r="W43" s="47">
        <v>6800.4569445793722</v>
      </c>
      <c r="X43" s="47">
        <v>5798.3413756610007</v>
      </c>
      <c r="Y43" s="47">
        <v>4001.3402691217184</v>
      </c>
      <c r="Z43" s="47">
        <v>2513.2467666830107</v>
      </c>
      <c r="AA43" s="47">
        <v>1491.7090770810655</v>
      </c>
      <c r="AB43" s="47">
        <v>1020.0824812054115</v>
      </c>
      <c r="AC43" s="47">
        <v>776.22543709402555</v>
      </c>
      <c r="AD43" s="48"/>
      <c r="AE43" s="44"/>
      <c r="AF43" s="44"/>
    </row>
    <row r="44" spans="1:32">
      <c r="A44" s="61">
        <v>2022</v>
      </c>
      <c r="B44" s="63">
        <f t="shared" si="0"/>
        <v>38366.685836745448</v>
      </c>
      <c r="C44" s="63">
        <f t="shared" si="1"/>
        <v>91912.30042604373</v>
      </c>
      <c r="D44" s="63">
        <f t="shared" si="2"/>
        <v>5275.8885384360337</v>
      </c>
      <c r="E44" s="64">
        <f t="shared" si="3"/>
        <v>210.60238022602101</v>
      </c>
      <c r="F44" s="54">
        <f t="shared" si="4"/>
        <v>47.482844160013187</v>
      </c>
      <c r="G44" s="54">
        <f t="shared" si="5"/>
        <v>41.742710887338525</v>
      </c>
      <c r="H44" s="54">
        <f t="shared" si="6"/>
        <v>5.7401332726746652</v>
      </c>
      <c r="I44" s="65">
        <f t="shared" si="7"/>
        <v>87.911142699601356</v>
      </c>
      <c r="J44" s="54">
        <f t="shared" si="8"/>
        <v>12.088857300398644</v>
      </c>
      <c r="K44" s="49">
        <v>154</v>
      </c>
      <c r="L44" s="49">
        <v>65</v>
      </c>
      <c r="M44" s="47">
        <v>12276.743250757092</v>
      </c>
      <c r="N44" s="47">
        <v>13111.460004735331</v>
      </c>
      <c r="O44" s="47">
        <v>12978.482581253025</v>
      </c>
      <c r="P44" s="47">
        <v>13835.40245576001</v>
      </c>
      <c r="Q44" s="47">
        <v>12130.678132225061</v>
      </c>
      <c r="R44" s="47">
        <v>11970.803633256517</v>
      </c>
      <c r="S44" s="47">
        <v>12077.533030631452</v>
      </c>
      <c r="T44" s="47">
        <v>10617.446929459162</v>
      </c>
      <c r="U44" s="47">
        <v>8042.6527261719193</v>
      </c>
      <c r="V44" s="47">
        <v>6101.691959528901</v>
      </c>
      <c r="W44" s="47">
        <v>6990.9835956070328</v>
      </c>
      <c r="X44" s="47">
        <v>5874.8266811019475</v>
      </c>
      <c r="Y44" s="47">
        <v>4270.2812823017339</v>
      </c>
      <c r="Z44" s="47">
        <v>2608.0673857228735</v>
      </c>
      <c r="AA44" s="47">
        <v>1593.3706857873374</v>
      </c>
      <c r="AB44" s="47">
        <v>1074.4504669258233</v>
      </c>
      <c r="AC44" s="47">
        <v>799.32662814064759</v>
      </c>
      <c r="AD44" s="48"/>
      <c r="AE44" s="44"/>
      <c r="AF44" s="44"/>
    </row>
    <row r="45" spans="1:32">
      <c r="A45" s="61">
        <v>2023</v>
      </c>
      <c r="B45" s="63">
        <f t="shared" si="0"/>
        <v>38171.218499960436</v>
      </c>
      <c r="C45" s="63">
        <f t="shared" si="1"/>
        <v>93805.655853939097</v>
      </c>
      <c r="D45" s="63">
        <f t="shared" si="2"/>
        <v>5558.8130140448575</v>
      </c>
      <c r="E45" s="64">
        <f t="shared" si="3"/>
        <v>214.51083524578806</v>
      </c>
      <c r="F45" s="54">
        <f t="shared" si="4"/>
        <v>46.617691775531647</v>
      </c>
      <c r="G45" s="54">
        <f t="shared" si="5"/>
        <v>40.69180920113736</v>
      </c>
      <c r="H45" s="54">
        <f t="shared" si="6"/>
        <v>5.9258825743942936</v>
      </c>
      <c r="I45" s="65">
        <f t="shared" si="7"/>
        <v>87.288339793982189</v>
      </c>
      <c r="J45" s="54">
        <f t="shared" si="8"/>
        <v>12.711660206017811</v>
      </c>
      <c r="K45" s="49">
        <v>154</v>
      </c>
      <c r="L45" s="49">
        <v>65</v>
      </c>
      <c r="M45" s="47">
        <v>12294.006894443217</v>
      </c>
      <c r="N45" s="47">
        <v>13281.809105239232</v>
      </c>
      <c r="O45" s="47">
        <v>12595.402500277985</v>
      </c>
      <c r="P45" s="47">
        <v>14222.94385537844</v>
      </c>
      <c r="Q45" s="47">
        <v>12565.719764175865</v>
      </c>
      <c r="R45" s="47">
        <v>11607.867080671951</v>
      </c>
      <c r="S45" s="47">
        <v>12321.821024450692</v>
      </c>
      <c r="T45" s="47">
        <v>10464.543675318904</v>
      </c>
      <c r="U45" s="47">
        <v>8952.937198712234</v>
      </c>
      <c r="V45" s="47">
        <v>6087.0489708196692</v>
      </c>
      <c r="W45" s="47">
        <v>7110.5651223383929</v>
      </c>
      <c r="X45" s="47">
        <v>5953.5971295293966</v>
      </c>
      <c r="Y45" s="47">
        <v>4518.612032543544</v>
      </c>
      <c r="Z45" s="47">
        <v>2725.9197908580581</v>
      </c>
      <c r="AA45" s="47">
        <v>1694.5517017826282</v>
      </c>
      <c r="AB45" s="47">
        <v>1138.3415214041704</v>
      </c>
      <c r="AC45" s="47">
        <v>827.24382736927214</v>
      </c>
      <c r="AD45" s="48"/>
      <c r="AE45" s="44"/>
      <c r="AF45" s="44"/>
    </row>
    <row r="46" spans="1:32">
      <c r="A46" s="61">
        <v>2024</v>
      </c>
      <c r="B46" s="63">
        <f t="shared" si="0"/>
        <v>38016.827219496874</v>
      </c>
      <c r="C46" s="63">
        <f t="shared" si="1"/>
        <v>95586.534858532294</v>
      </c>
      <c r="D46" s="63">
        <f t="shared" si="2"/>
        <v>5883.4254933795892</v>
      </c>
      <c r="E46" s="64">
        <f t="shared" si="3"/>
        <v>217.73572804626616</v>
      </c>
      <c r="F46" s="54">
        <f t="shared" si="4"/>
        <v>45.927235230201276</v>
      </c>
      <c r="G46" s="54">
        <f t="shared" si="5"/>
        <v>39.772157528004996</v>
      </c>
      <c r="H46" s="54">
        <f t="shared" si="6"/>
        <v>6.155077702196273</v>
      </c>
      <c r="I46" s="65">
        <f t="shared" si="7"/>
        <v>86.598196753309551</v>
      </c>
      <c r="J46" s="54">
        <f t="shared" si="8"/>
        <v>13.401803246690449</v>
      </c>
      <c r="K46" s="49">
        <v>154</v>
      </c>
      <c r="L46" s="49">
        <v>65</v>
      </c>
      <c r="M46" s="47">
        <v>12849.138182169892</v>
      </c>
      <c r="N46" s="47">
        <v>12784.659023640388</v>
      </c>
      <c r="O46" s="47">
        <v>12383.030013686588</v>
      </c>
      <c r="P46" s="47">
        <v>14399.475040834044</v>
      </c>
      <c r="Q46" s="47">
        <v>13047.46746355436</v>
      </c>
      <c r="R46" s="47">
        <v>11425.778521311368</v>
      </c>
      <c r="S46" s="47">
        <v>12374.439177064898</v>
      </c>
      <c r="T46" s="47">
        <v>10440.565162809708</v>
      </c>
      <c r="U46" s="47">
        <v>9595.0678047040547</v>
      </c>
      <c r="V46" s="47">
        <v>6401.9546815581925</v>
      </c>
      <c r="W46" s="47">
        <v>7121.1351161771363</v>
      </c>
      <c r="X46" s="47">
        <v>6057.3308438993727</v>
      </c>
      <c r="Y46" s="47">
        <v>4723.3210466191567</v>
      </c>
      <c r="Z46" s="47">
        <v>2877.4758231279711</v>
      </c>
      <c r="AA46" s="47">
        <v>1790.4923488605707</v>
      </c>
      <c r="AB46" s="47">
        <v>1215.4573213910471</v>
      </c>
      <c r="AC46" s="47">
        <v>858.2555812336642</v>
      </c>
      <c r="AD46" s="48"/>
      <c r="AE46" s="44"/>
      <c r="AF46" s="44"/>
    </row>
    <row r="47" spans="1:32">
      <c r="A47" s="61">
        <v>2025</v>
      </c>
      <c r="B47" s="63">
        <f t="shared" si="0"/>
        <v>37947.945593660639</v>
      </c>
      <c r="C47" s="63">
        <f t="shared" si="1"/>
        <v>97207.401524326531</v>
      </c>
      <c r="D47" s="63">
        <f t="shared" si="2"/>
        <v>6250.885528702489</v>
      </c>
      <c r="E47" s="64">
        <f t="shared" si="3"/>
        <v>219.9320639390005</v>
      </c>
      <c r="F47" s="54">
        <f t="shared" si="4"/>
        <v>45.46858616656079</v>
      </c>
      <c r="G47" s="54">
        <f t="shared" si="5"/>
        <v>39.038123639344498</v>
      </c>
      <c r="H47" s="54">
        <f t="shared" si="6"/>
        <v>6.4304625272162852</v>
      </c>
      <c r="I47" s="65">
        <f t="shared" si="7"/>
        <v>85.857351043069201</v>
      </c>
      <c r="J47" s="54">
        <f t="shared" si="8"/>
        <v>14.142648956930799</v>
      </c>
      <c r="K47" s="49">
        <v>154</v>
      </c>
      <c r="L47" s="49">
        <v>65</v>
      </c>
      <c r="M47" s="47">
        <v>12659.95403837141</v>
      </c>
      <c r="N47" s="47">
        <v>12883.909516221653</v>
      </c>
      <c r="O47" s="47">
        <v>12404.082039067576</v>
      </c>
      <c r="P47" s="47">
        <v>14322.293245767758</v>
      </c>
      <c r="Q47" s="47">
        <v>13584.14891486011</v>
      </c>
      <c r="R47" s="47">
        <v>11446.502130915824</v>
      </c>
      <c r="S47" s="47">
        <v>12197.681088972802</v>
      </c>
      <c r="T47" s="47">
        <v>10589.808648487127</v>
      </c>
      <c r="U47" s="47">
        <v>9899.7360337905229</v>
      </c>
      <c r="V47" s="47">
        <v>7112.6147222453374</v>
      </c>
      <c r="W47" s="47">
        <v>6975.6112576916448</v>
      </c>
      <c r="X47" s="47">
        <v>6207.2534402936071</v>
      </c>
      <c r="Y47" s="47">
        <v>4871.7520413017801</v>
      </c>
      <c r="Z47" s="47">
        <v>3067.2470985605169</v>
      </c>
      <c r="AA47" s="47">
        <v>1877.2466227475252</v>
      </c>
      <c r="AB47" s="47">
        <v>1306.3918073944469</v>
      </c>
      <c r="AC47" s="47">
        <v>893.47891972364835</v>
      </c>
      <c r="AD47" s="48"/>
      <c r="AE47" s="44"/>
      <c r="AF47" s="44"/>
    </row>
    <row r="48" spans="1:32">
      <c r="A48" s="61">
        <v>2026</v>
      </c>
      <c r="B48" s="63">
        <f t="shared" si="0"/>
        <v>37960.967529941088</v>
      </c>
      <c r="C48" s="63">
        <f t="shared" si="1"/>
        <v>98679.108906345544</v>
      </c>
      <c r="D48" s="63">
        <f t="shared" si="2"/>
        <v>6654.4390973003028</v>
      </c>
      <c r="E48" s="64">
        <f t="shared" si="3"/>
        <v>221.17720394392592</v>
      </c>
      <c r="F48" s="54">
        <f t="shared" si="4"/>
        <v>45.212616045798534</v>
      </c>
      <c r="G48" s="54">
        <f t="shared" si="5"/>
        <v>38.469102478386908</v>
      </c>
      <c r="H48" s="54">
        <f t="shared" si="6"/>
        <v>6.7435135674116227</v>
      </c>
      <c r="I48" s="65">
        <f t="shared" si="7"/>
        <v>85.084885244019674</v>
      </c>
      <c r="J48" s="54">
        <f t="shared" si="8"/>
        <v>14.915114755980326</v>
      </c>
      <c r="K48" s="49">
        <v>154</v>
      </c>
      <c r="L48" s="49">
        <v>65</v>
      </c>
      <c r="M48" s="47">
        <v>12506.513193054087</v>
      </c>
      <c r="N48" s="47">
        <v>12796.825414157896</v>
      </c>
      <c r="O48" s="47">
        <v>12657.628922729105</v>
      </c>
      <c r="P48" s="47">
        <v>14002.926777140703</v>
      </c>
      <c r="Q48" s="47">
        <v>14171.82097158434</v>
      </c>
      <c r="R48" s="47">
        <v>11636.810972778596</v>
      </c>
      <c r="S48" s="47">
        <v>11848.053599281597</v>
      </c>
      <c r="T48" s="47">
        <v>10863.012833127768</v>
      </c>
      <c r="U48" s="47">
        <v>9924.8318834168531</v>
      </c>
      <c r="V48" s="47">
        <v>8149.9857699822696</v>
      </c>
      <c r="W48" s="47">
        <v>6713.2276106600948</v>
      </c>
      <c r="X48" s="47">
        <v>6395.8430847089367</v>
      </c>
      <c r="Y48" s="47">
        <v>4972.595403664398</v>
      </c>
      <c r="Z48" s="47">
        <v>3287.2134731349611</v>
      </c>
      <c r="AA48" s="47">
        <v>1957.992038317919</v>
      </c>
      <c r="AB48" s="47">
        <v>1409.233585847423</v>
      </c>
      <c r="AC48" s="47">
        <v>935.01144402414673</v>
      </c>
      <c r="AD48" s="48"/>
      <c r="AE48" s="44"/>
      <c r="AF48" s="44"/>
    </row>
    <row r="49" spans="1:32">
      <c r="A49" s="61">
        <v>2027</v>
      </c>
      <c r="B49" s="63">
        <f t="shared" si="0"/>
        <v>38016.282837893406</v>
      </c>
      <c r="C49" s="63">
        <f t="shared" si="1"/>
        <v>100056.27242340735</v>
      </c>
      <c r="D49" s="63">
        <f t="shared" si="2"/>
        <v>7079.5268733491621</v>
      </c>
      <c r="E49" s="64">
        <f t="shared" si="3"/>
        <v>221.87487720940715</v>
      </c>
      <c r="F49" s="54">
        <f t="shared" si="4"/>
        <v>45.070447478206042</v>
      </c>
      <c r="G49" s="54">
        <f t="shared" si="5"/>
        <v>37.994902185662284</v>
      </c>
      <c r="H49" s="54">
        <f t="shared" si="6"/>
        <v>7.0755452925437625</v>
      </c>
      <c r="I49" s="65">
        <f t="shared" si="7"/>
        <v>84.301142570272532</v>
      </c>
      <c r="J49" s="54">
        <f t="shared" si="8"/>
        <v>15.698857429727468</v>
      </c>
      <c r="K49" s="49">
        <v>154</v>
      </c>
      <c r="L49" s="49">
        <v>65</v>
      </c>
      <c r="M49" s="47">
        <v>12359.066970812086</v>
      </c>
      <c r="N49" s="47">
        <v>12653.111461084547</v>
      </c>
      <c r="O49" s="47">
        <v>13004.104405996775</v>
      </c>
      <c r="P49" s="47">
        <v>13554.533860961808</v>
      </c>
      <c r="Q49" s="47">
        <v>14723.12218593762</v>
      </c>
      <c r="R49" s="47">
        <v>11968.256760508779</v>
      </c>
      <c r="S49" s="47">
        <v>11425.606842321735</v>
      </c>
      <c r="T49" s="47">
        <v>11174.416330987537</v>
      </c>
      <c r="U49" s="47">
        <v>9780.9177803504535</v>
      </c>
      <c r="V49" s="47">
        <v>9327.5424623777981</v>
      </c>
      <c r="W49" s="47">
        <v>6477.0063258633727</v>
      </c>
      <c r="X49" s="47">
        <v>6579.1746007523561</v>
      </c>
      <c r="Y49" s="47">
        <v>5045.6952733458938</v>
      </c>
      <c r="Z49" s="47">
        <v>3517.5522956463797</v>
      </c>
      <c r="AA49" s="47">
        <v>2042.9819978721996</v>
      </c>
      <c r="AB49" s="47">
        <v>1518.9925798305831</v>
      </c>
      <c r="AC49" s="47">
        <v>983.77538104354971</v>
      </c>
      <c r="AD49" s="48"/>
      <c r="AE49" s="44"/>
      <c r="AF49" s="44"/>
    </row>
    <row r="50" spans="1:32">
      <c r="A50" s="61">
        <v>2028</v>
      </c>
      <c r="B50" s="63">
        <f t="shared" si="0"/>
        <v>38042.011243259185</v>
      </c>
      <c r="C50" s="63">
        <f t="shared" si="1"/>
        <v>101425.37448327131</v>
      </c>
      <c r="D50" s="63">
        <f t="shared" si="2"/>
        <v>7506.2546326019483</v>
      </c>
      <c r="E50" s="64">
        <f t="shared" si="3"/>
        <v>222.67669807605768</v>
      </c>
      <c r="F50" s="54">
        <f t="shared" si="4"/>
        <v>44.908156472593234</v>
      </c>
      <c r="G50" s="54">
        <f t="shared" si="5"/>
        <v>37.507390470156636</v>
      </c>
      <c r="H50" s="54">
        <f t="shared" si="6"/>
        <v>7.4007660024365984</v>
      </c>
      <c r="I50" s="65">
        <f t="shared" si="7"/>
        <v>83.520218633438731</v>
      </c>
      <c r="J50" s="54">
        <f t="shared" si="8"/>
        <v>16.479781366561269</v>
      </c>
      <c r="K50" s="49">
        <v>154</v>
      </c>
      <c r="L50" s="49">
        <v>65</v>
      </c>
      <c r="M50" s="47">
        <v>12217.312094580495</v>
      </c>
      <c r="N50" s="47">
        <v>12661.785858003706</v>
      </c>
      <c r="O50" s="47">
        <v>13162.913290674982</v>
      </c>
      <c r="P50" s="47">
        <v>13144.443663862394</v>
      </c>
      <c r="Q50" s="47">
        <v>15125.414480438905</v>
      </c>
      <c r="R50" s="47">
        <v>12390.491783968489</v>
      </c>
      <c r="S50" s="47">
        <v>11073.571910763847</v>
      </c>
      <c r="T50" s="47">
        <v>11395.399533435691</v>
      </c>
      <c r="U50" s="47">
        <v>9636.7017227973611</v>
      </c>
      <c r="V50" s="47">
        <v>10380.962521290479</v>
      </c>
      <c r="W50" s="47">
        <v>6462.9562905395414</v>
      </c>
      <c r="X50" s="47">
        <v>6695.0938094471339</v>
      </c>
      <c r="Y50" s="47">
        <v>5120.3387667274737</v>
      </c>
      <c r="Z50" s="47">
        <v>3731.0966721387949</v>
      </c>
      <c r="AA50" s="47">
        <v>2146.2227668760456</v>
      </c>
      <c r="AB50" s="47">
        <v>1628.9351935871084</v>
      </c>
      <c r="AC50" s="47">
        <v>1041.0474830013602</v>
      </c>
      <c r="AD50" s="48"/>
      <c r="AE50" s="44"/>
      <c r="AF50" s="44"/>
    </row>
    <row r="51" spans="1:32">
      <c r="A51" s="61">
        <v>2029</v>
      </c>
      <c r="B51" s="63">
        <f t="shared" si="0"/>
        <v>37965.242210641409</v>
      </c>
      <c r="C51" s="63">
        <f t="shared" si="1"/>
        <v>102867.92213320082</v>
      </c>
      <c r="D51" s="63">
        <f t="shared" si="2"/>
        <v>7919.7909498445815</v>
      </c>
      <c r="E51" s="64">
        <f t="shared" si="3"/>
        <v>224.18622162353756</v>
      </c>
      <c r="F51" s="54">
        <f t="shared" si="4"/>
        <v>44.605774287022868</v>
      </c>
      <c r="G51" s="54">
        <f t="shared" si="5"/>
        <v>36.906784372956686</v>
      </c>
      <c r="H51" s="54">
        <f t="shared" si="6"/>
        <v>7.6989899140661784</v>
      </c>
      <c r="I51" s="65">
        <f t="shared" si="7"/>
        <v>82.739925408477788</v>
      </c>
      <c r="J51" s="54">
        <f t="shared" si="8"/>
        <v>17.260074591522212</v>
      </c>
      <c r="K51" s="49">
        <v>154</v>
      </c>
      <c r="L51" s="49">
        <v>65</v>
      </c>
      <c r="M51" s="47">
        <v>12078.156167123649</v>
      </c>
      <c r="N51" s="47">
        <v>13225.421207528183</v>
      </c>
      <c r="O51" s="47">
        <v>12661.664835989577</v>
      </c>
      <c r="P51" s="47">
        <v>12914.141426940372</v>
      </c>
      <c r="Q51" s="47">
        <v>15303.731145601329</v>
      </c>
      <c r="R51" s="47">
        <v>12858.706029351317</v>
      </c>
      <c r="S51" s="47">
        <v>10894.511818295552</v>
      </c>
      <c r="T51" s="47">
        <v>11439.201881225576</v>
      </c>
      <c r="U51" s="47">
        <v>9611.4202781281856</v>
      </c>
      <c r="V51" s="47">
        <v>11123.09602401994</v>
      </c>
      <c r="W51" s="47">
        <v>6798.8850863302641</v>
      </c>
      <c r="X51" s="47">
        <v>6708.0826869807361</v>
      </c>
      <c r="Y51" s="47">
        <v>5216.1457563275444</v>
      </c>
      <c r="Z51" s="47">
        <v>3909.0423490966218</v>
      </c>
      <c r="AA51" s="47">
        <v>2276.181844261811</v>
      </c>
      <c r="AB51" s="47">
        <v>1734.5667564861485</v>
      </c>
      <c r="AC51" s="47">
        <v>1107.679195261393</v>
      </c>
      <c r="AD51" s="48"/>
      <c r="AE51" s="44"/>
      <c r="AF51" s="44"/>
    </row>
    <row r="52" spans="1:32">
      <c r="A52" s="61">
        <v>2030</v>
      </c>
      <c r="B52" s="63">
        <f t="shared" si="0"/>
        <v>37725.335430558654</v>
      </c>
      <c r="C52" s="63">
        <f t="shared" si="1"/>
        <v>104444.27824392122</v>
      </c>
      <c r="D52" s="63">
        <f t="shared" si="2"/>
        <v>8312.9517161756576</v>
      </c>
      <c r="E52" s="64">
        <f t="shared" si="3"/>
        <v>226.86395328095927</v>
      </c>
      <c r="F52" s="54">
        <f t="shared" si="4"/>
        <v>44.079281240486523</v>
      </c>
      <c r="G52" s="54">
        <f t="shared" si="5"/>
        <v>36.120059485167936</v>
      </c>
      <c r="H52" s="54">
        <f t="shared" si="6"/>
        <v>7.9592217553185893</v>
      </c>
      <c r="I52" s="65">
        <f t="shared" si="7"/>
        <v>81.943394875486092</v>
      </c>
      <c r="J52" s="54">
        <f t="shared" si="8"/>
        <v>18.056605124513908</v>
      </c>
      <c r="K52" s="49">
        <v>154</v>
      </c>
      <c r="L52" s="49">
        <v>65</v>
      </c>
      <c r="M52" s="47">
        <v>11938.89922694441</v>
      </c>
      <c r="N52" s="47">
        <v>13028.717484745495</v>
      </c>
      <c r="O52" s="47">
        <v>12757.718718868753</v>
      </c>
      <c r="P52" s="47">
        <v>12933.480089805551</v>
      </c>
      <c r="Q52" s="47">
        <v>15218.815987463428</v>
      </c>
      <c r="R52" s="47">
        <v>13386.139066081416</v>
      </c>
      <c r="S52" s="47">
        <v>10913.447323215372</v>
      </c>
      <c r="T52" s="47">
        <v>11275.741159509624</v>
      </c>
      <c r="U52" s="47">
        <v>9749.6955258808193</v>
      </c>
      <c r="V52" s="47">
        <v>11478.72410088325</v>
      </c>
      <c r="W52" s="47">
        <v>7557.9926664478089</v>
      </c>
      <c r="X52" s="47">
        <v>6576.5324439009701</v>
      </c>
      <c r="Y52" s="47">
        <v>5353.7098807329849</v>
      </c>
      <c r="Z52" s="47">
        <v>4042.44504542502</v>
      </c>
      <c r="AA52" s="47">
        <v>2437.6444853792655</v>
      </c>
      <c r="AB52" s="47">
        <v>1832.8621853713714</v>
      </c>
      <c r="AC52" s="47">
        <v>1185.3276345869442</v>
      </c>
      <c r="AD52" s="48"/>
      <c r="AE52" s="44"/>
      <c r="AF52" s="44"/>
    </row>
    <row r="53" spans="1:32"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</row>
    <row r="54" spans="1:32"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74100-4CC3-49AB-A715-5A141FE33890}">
  <dimension ref="A3:H29"/>
  <sheetViews>
    <sheetView zoomScaleNormal="100" workbookViewId="0">
      <selection activeCell="K16" sqref="K16"/>
    </sheetView>
  </sheetViews>
  <sheetFormatPr defaultRowHeight="14.4"/>
  <cols>
    <col min="2" max="2" width="18.21875" customWidth="1"/>
    <col min="3" max="3" width="19.109375" customWidth="1"/>
  </cols>
  <sheetData>
    <row r="3" spans="1:8" ht="18">
      <c r="A3" s="69">
        <v>2022</v>
      </c>
      <c r="B3" s="69" t="s">
        <v>95</v>
      </c>
      <c r="C3" s="69" t="s">
        <v>96</v>
      </c>
      <c r="D3" s="1"/>
    </row>
    <row r="4" spans="1:8">
      <c r="A4" s="70" t="s">
        <v>1</v>
      </c>
      <c r="B4" s="67">
        <v>2498</v>
      </c>
      <c r="C4" s="67">
        <v>2319</v>
      </c>
      <c r="D4" s="67"/>
      <c r="E4" s="53"/>
      <c r="F4" s="53"/>
      <c r="G4" s="53"/>
      <c r="H4" s="53"/>
    </row>
    <row r="5" spans="1:8">
      <c r="A5" s="71">
        <v>44989</v>
      </c>
      <c r="B5" s="67">
        <v>2588</v>
      </c>
      <c r="C5" s="67">
        <v>2542</v>
      </c>
      <c r="D5" s="67"/>
      <c r="E5" s="53"/>
      <c r="F5" s="53"/>
      <c r="G5" s="53"/>
      <c r="H5" s="53"/>
    </row>
    <row r="6" spans="1:8">
      <c r="A6" s="70">
        <v>5</v>
      </c>
      <c r="B6" s="67">
        <v>2102</v>
      </c>
      <c r="C6" s="67">
        <v>1961</v>
      </c>
      <c r="D6" s="67"/>
      <c r="E6" s="53"/>
      <c r="F6" s="53"/>
      <c r="G6" s="53"/>
      <c r="H6" s="53"/>
    </row>
    <row r="7" spans="1:8">
      <c r="A7" s="70">
        <v>6</v>
      </c>
      <c r="B7" s="67">
        <v>2208</v>
      </c>
      <c r="C7" s="67">
        <v>2105</v>
      </c>
      <c r="D7" s="68"/>
      <c r="E7" s="53"/>
      <c r="F7" s="53"/>
      <c r="G7" s="53"/>
      <c r="H7" s="53"/>
    </row>
    <row r="8" spans="1:8">
      <c r="A8" s="72">
        <v>45118</v>
      </c>
      <c r="B8" s="67">
        <v>6621</v>
      </c>
      <c r="C8" s="67">
        <v>6244</v>
      </c>
      <c r="D8" s="67"/>
      <c r="E8" s="67"/>
      <c r="F8" s="53"/>
      <c r="G8" s="53"/>
      <c r="H8" s="53"/>
    </row>
    <row r="9" spans="1:8">
      <c r="A9" s="73">
        <v>45274</v>
      </c>
      <c r="B9" s="67">
        <v>4861</v>
      </c>
      <c r="C9" s="67">
        <v>4859</v>
      </c>
      <c r="D9" s="67"/>
      <c r="E9" s="53"/>
      <c r="F9" s="53"/>
      <c r="G9" s="53"/>
      <c r="H9" s="53"/>
    </row>
    <row r="10" spans="1:8">
      <c r="A10" s="70" t="s">
        <v>5</v>
      </c>
      <c r="B10" s="67">
        <v>5041</v>
      </c>
      <c r="C10" s="67">
        <v>4872</v>
      </c>
      <c r="D10" s="67"/>
      <c r="E10" s="53"/>
      <c r="F10" s="53"/>
      <c r="G10" s="53"/>
      <c r="H10" s="53"/>
    </row>
    <row r="11" spans="1:8">
      <c r="A11" s="70" t="s">
        <v>6</v>
      </c>
      <c r="B11" s="67">
        <v>9580</v>
      </c>
      <c r="C11" s="67">
        <v>9632</v>
      </c>
      <c r="D11" s="67"/>
      <c r="E11" s="53"/>
      <c r="F11" s="53"/>
      <c r="G11" s="53"/>
      <c r="H11" s="53"/>
    </row>
    <row r="12" spans="1:8">
      <c r="A12" s="70" t="s">
        <v>7</v>
      </c>
      <c r="B12" s="67">
        <v>12235</v>
      </c>
      <c r="C12" s="67">
        <v>12180</v>
      </c>
      <c r="D12" s="67"/>
      <c r="E12" s="53"/>
      <c r="F12" s="53"/>
      <c r="G12" s="53"/>
      <c r="H12" s="53"/>
    </row>
    <row r="13" spans="1:8">
      <c r="A13" s="70" t="s">
        <v>8</v>
      </c>
      <c r="B13" s="67">
        <v>8697</v>
      </c>
      <c r="C13" s="67">
        <v>8293</v>
      </c>
      <c r="D13" s="67"/>
      <c r="E13" s="53"/>
      <c r="F13" s="53"/>
      <c r="G13" s="53"/>
      <c r="H13" s="53"/>
    </row>
    <row r="14" spans="1:8">
      <c r="A14" s="70" t="s">
        <v>9</v>
      </c>
      <c r="B14" s="67">
        <v>8223</v>
      </c>
      <c r="C14" s="67">
        <v>8100</v>
      </c>
      <c r="D14" s="67"/>
      <c r="E14" s="53"/>
      <c r="F14" s="53"/>
      <c r="G14" s="53"/>
      <c r="H14" s="53"/>
    </row>
    <row r="15" spans="1:8">
      <c r="A15" s="70" t="s">
        <v>10</v>
      </c>
      <c r="B15" s="67">
        <v>4175</v>
      </c>
      <c r="C15" s="67">
        <v>4739</v>
      </c>
      <c r="D15" s="67"/>
      <c r="E15" s="53"/>
      <c r="F15" s="53"/>
      <c r="G15" s="53"/>
      <c r="H15" s="53"/>
    </row>
    <row r="16" spans="1:8">
      <c r="B16" s="75">
        <f>SUM(B4,B5,B6,B7,B8,B9,B10,B11,B12,B13,B14,B15)</f>
        <v>68829</v>
      </c>
      <c r="C16" s="75">
        <f>SUM(C4,C5,C6,C7,C8,C9,C10,C11,C12,C13,C14,C15)</f>
        <v>67846</v>
      </c>
      <c r="D16" s="74">
        <f>SUM(B16,C16)</f>
        <v>136675</v>
      </c>
      <c r="E16" s="53"/>
      <c r="F16" s="53"/>
      <c r="G16" s="53"/>
      <c r="H16" s="53"/>
    </row>
    <row r="17" spans="2:8">
      <c r="B17" s="53"/>
      <c r="C17" s="53"/>
      <c r="D17" s="53"/>
      <c r="E17" s="53"/>
      <c r="F17" s="53"/>
      <c r="G17" s="53"/>
      <c r="H17" s="53"/>
    </row>
    <row r="18" spans="2:8">
      <c r="B18" s="53"/>
      <c r="C18" s="53"/>
      <c r="D18" s="53"/>
      <c r="E18" s="53"/>
      <c r="F18" s="53"/>
      <c r="G18" s="53"/>
      <c r="H18" s="53"/>
    </row>
    <row r="19" spans="2:8">
      <c r="B19" s="53"/>
      <c r="C19" s="53"/>
      <c r="D19" s="53"/>
      <c r="E19" s="53"/>
      <c r="F19" s="53"/>
      <c r="G19" s="53"/>
      <c r="H19" s="53"/>
    </row>
    <row r="20" spans="2:8">
      <c r="B20" s="53"/>
      <c r="C20" s="53"/>
      <c r="D20" s="53"/>
      <c r="E20" s="53"/>
      <c r="F20" s="53"/>
      <c r="G20" s="53"/>
      <c r="H20" s="53"/>
    </row>
    <row r="21" spans="2:8">
      <c r="B21" s="53"/>
      <c r="C21" s="53"/>
      <c r="D21" s="53"/>
      <c r="E21" s="53"/>
      <c r="F21" s="53"/>
      <c r="G21" s="53"/>
      <c r="H21" s="53"/>
    </row>
    <row r="22" spans="2:8">
      <c r="B22" s="53"/>
      <c r="C22" s="53"/>
      <c r="D22" s="53"/>
      <c r="E22" s="53"/>
      <c r="F22" s="53"/>
      <c r="G22" s="53"/>
      <c r="H22" s="53"/>
    </row>
    <row r="23" spans="2:8">
      <c r="B23" s="53"/>
      <c r="C23" s="53"/>
      <c r="D23" s="53"/>
      <c r="E23" s="53"/>
      <c r="F23" s="53"/>
      <c r="G23" s="53"/>
      <c r="H23" s="53"/>
    </row>
    <row r="24" spans="2:8">
      <c r="B24" s="53"/>
      <c r="C24" s="53"/>
      <c r="D24" s="53"/>
      <c r="E24" s="53"/>
      <c r="F24" s="53"/>
      <c r="G24" s="53"/>
      <c r="H24" s="53"/>
    </row>
    <row r="25" spans="2:8">
      <c r="B25" s="53"/>
      <c r="C25" s="53"/>
      <c r="D25" s="53"/>
      <c r="E25" s="53"/>
      <c r="F25" s="53"/>
      <c r="G25" s="53"/>
      <c r="H25" s="53"/>
    </row>
    <row r="26" spans="2:8">
      <c r="B26" s="53"/>
      <c r="C26" s="53"/>
      <c r="D26" s="53"/>
      <c r="E26" s="53"/>
      <c r="F26" s="53"/>
      <c r="G26" s="53"/>
      <c r="H26" s="53"/>
    </row>
    <row r="27" spans="2:8">
      <c r="B27" s="53"/>
      <c r="C27" s="53"/>
      <c r="D27" s="53"/>
      <c r="E27" s="53"/>
      <c r="F27" s="53"/>
      <c r="G27" s="53"/>
      <c r="H27" s="53"/>
    </row>
    <row r="28" spans="2:8">
      <c r="B28" s="53"/>
      <c r="C28" s="53"/>
      <c r="D28" s="53"/>
      <c r="E28" s="53"/>
      <c r="F28" s="53"/>
      <c r="G28" s="53"/>
      <c r="H28" s="53"/>
    </row>
    <row r="29" spans="2:8">
      <c r="B29" s="53"/>
      <c r="C29" s="53"/>
      <c r="D29" s="53"/>
      <c r="E29" s="53"/>
      <c r="F29" s="53"/>
      <c r="G29" s="53"/>
      <c r="H29" s="53"/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7AFB4E-BF2B-4022-8E09-046E43E188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1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Chart2</vt:lpstr>
    </vt:vector>
  </TitlesOfParts>
  <Company>HEAVEN KILLERS RELEASE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paris chhay</cp:lastModifiedBy>
  <cp:lastPrinted>2023-06-15T01:50:45Z</cp:lastPrinted>
  <dcterms:created xsi:type="dcterms:W3CDTF">2023-06-08T08:53:02Z</dcterms:created>
  <dcterms:modified xsi:type="dcterms:W3CDTF">2024-03-27T08:42:40Z</dcterms:modified>
</cp:coreProperties>
</file>